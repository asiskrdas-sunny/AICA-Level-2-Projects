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Project Cost &amp; Finance" sheetId="3" state="visible" r:id="rId3"/>
    <sheet name="Depreciation" sheetId="4" state="visible" r:id="rId4"/>
    <sheet name="Loan Repayment Schedule" sheetId="5" state="visible" r:id="rId5"/>
    <sheet name="Projected P&amp;L" sheetId="6" state="visible" r:id="rId6"/>
    <sheet name="Projected Balance Sheet" sheetId="7" state="visible" r:id="rId7"/>
    <sheet name="Cash Flow" sheetId="8" state="visible" r:id="rId8"/>
    <sheet name="Ratios &amp; DSCR" sheetId="9" state="visible" r:id="rId9"/>
    <sheet name="Break-even" sheetId="10" state="visible" r:id="rId10"/>
  </sheets>
  <definedNames>
    <definedName name="_xlnm.Print_Titles" localSheetId="1">'Assumptions'!$3:$3</definedName>
    <definedName name="_xlnm.Print_Titles" localSheetId="2">'Project Cost &amp; Finance'!$3:$3</definedName>
    <definedName name="_xlnm.Print_Titles" localSheetId="3">'Depreciation'!$3:$3</definedName>
    <definedName name="_xlnm.Print_Titles" localSheetId="4">'Loan Repayment Schedule'!$3:$3</definedName>
    <definedName name="_xlnm.Print_Titles" localSheetId="5">'Projected P&amp;L'!$3:$3</definedName>
    <definedName name="_xlnm.Print_Titles" localSheetId="6">'Projected Balance Sheet'!$3:$3</definedName>
    <definedName name="_xlnm.Print_Titles" localSheetId="7">'Cash Flow'!$3:$3</definedName>
    <definedName name="_xlnm.Print_Titles" localSheetId="8">'Ratios &amp; DSCR'!$3:$3</definedName>
    <definedName name="_xlnm.Print_Titles" localSheetId="9">'Break-even'!$3:$3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;(#,##,##0.00);&quot;-&quot;"/>
    <numFmt numFmtId="165" formatCode="0.00&quot;x&quot;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2F5597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4"/>
    </font>
    <font>
      <name val="Calibri"/>
      <i val="1"/>
      <color rgb="00555555"/>
      <sz val="9"/>
    </font>
    <font>
      <name val="Calibri"/>
      <color rgb="00002060"/>
      <sz val="10"/>
    </font>
    <font>
      <name val="Calibri"/>
      <b val="1"/>
      <color rgb="001F3864"/>
      <sz val="10"/>
    </font>
    <font>
      <name val="Calibri"/>
      <b val="1"/>
      <color rgb="001F3864"/>
      <sz val="10.5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3864"/>
      </top>
      <bottom style="double">
        <color rgb="001F386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5" borderId="1" pivotButton="0" quotePrefix="0" xfId="0"/>
    <xf numFmtId="164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9" fillId="6" borderId="2" pivotButton="0" quotePrefix="0" xfId="0"/>
    <xf numFmtId="164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10" fontId="4" fillId="6" borderId="2" applyAlignment="1" pivotButton="0" quotePrefix="0" xfId="0">
      <alignment horizontal="right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10" fillId="0" borderId="0" pivotButton="0" quotePrefix="0" xfId="0"/>
    <xf numFmtId="164" fontId="11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165" fontId="4" fillId="6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Net Profit After Tax (₹ in Crore)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&amp; DSCR'!B23</f>
            </strRef>
          </tx>
          <spPr>
            <a:ln>
              <a:prstDash val="solid"/>
            </a:ln>
          </spPr>
          <cat>
            <numRef>
              <f>'Ratios &amp; DSCR'!$C$22:$L$22</f>
            </numRef>
          </cat>
          <val>
            <numRef>
              <f>'Ratios &amp; DSCR'!$C$23:$L$23</f>
            </numRef>
          </val>
        </ser>
        <ser>
          <idx val="1"/>
          <order val="1"/>
          <tx>
            <strRef>
              <f>'Ratios &amp; DSCR'!B24</f>
            </strRef>
          </tx>
          <spPr>
            <a:ln>
              <a:prstDash val="solid"/>
            </a:ln>
          </spPr>
          <cat>
            <numRef>
              <f>'Ratios &amp; DSCR'!$C$22:$L$22</f>
            </numRef>
          </cat>
          <val>
            <numRef>
              <f>'Ratios &amp; DSCR'!$C$24:$L$24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Operating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 in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DSCR Trajectory (Debt Service Coverage Ratio)</a:t>
            </a:r>
          </a:p>
        </rich>
      </tx>
    </title>
    <plotArea>
      <lineChart>
        <grouping val="standard"/>
        <ser>
          <idx val="0"/>
          <order val="0"/>
          <tx>
            <strRef>
              <f>'Ratios &amp; DSCR'!B25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 &amp; DSCR'!$C$22:$L$22</f>
            </numRef>
          </cat>
          <val>
            <numRef>
              <f>'Ratios &amp; DSCR'!$C$25:$L$25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Operating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Coverage (Times)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</cols>
  <sheetData>
    <row r="2">
      <c r="B2" s="1" t="inlineStr">
        <is>
          <t>DETAILED PROJECT REPORT (DPR)</t>
        </is>
      </c>
    </row>
    <row r="3">
      <c r="B3" s="2" t="inlineStr">
        <is>
          <t>TERM LOAN CREDIT APPRAISAL DOSSIER</t>
        </is>
      </c>
    </row>
    <row r="5" ht="20" customHeight="1">
      <c r="B5" s="3" t="inlineStr">
        <is>
          <t>PROJECT TITLE &amp; PURPOSE</t>
        </is>
      </c>
      <c r="C5" s="4" t="n"/>
    </row>
    <row r="6">
      <c r="B6" s="5" t="inlineStr">
        <is>
          <t>Project Name</t>
        </is>
      </c>
      <c r="C6" s="6" t="inlineStr">
        <is>
          <t>Hotel Case Study</t>
        </is>
      </c>
    </row>
    <row r="7">
      <c r="B7" s="5" t="inlineStr">
        <is>
          <t>Project Purpose / Activity</t>
        </is>
      </c>
      <c r="C7" s="6" t="inlineStr">
        <is>
          <t>Setting up a 125-Room Premium Business Hotel with Multi-Cuisine Restaurant &amp; Banquet Facilities</t>
        </is>
      </c>
    </row>
    <row r="8">
      <c r="B8" s="5" t="inlineStr">
        <is>
          <t>Project / Unit Location</t>
        </is>
      </c>
      <c r="C8" s="6" t="inlineStr">
        <is>
          <t>Survey No. 118, Outer Ring Road, Near IT Corridor, Bengaluru, Karnataka - 560103</t>
        </is>
      </c>
    </row>
    <row r="10" ht="20" customHeight="1">
      <c r="B10" s="3" t="inlineStr">
        <is>
          <t>CREDIT FACILITIES SOUGHT</t>
        </is>
      </c>
      <c r="C10" s="4" t="n"/>
    </row>
    <row r="11">
      <c r="B11" s="5" t="inlineStr">
        <is>
          <t>Term Loan Facility</t>
        </is>
      </c>
      <c r="C11" s="6" t="inlineStr">
        <is>
          <t>Term Loan of Rs. 70.00 Crore</t>
        </is>
      </c>
    </row>
    <row r="12">
      <c r="B12" s="5" t="inlineStr">
        <is>
          <t>Working Capital Facility</t>
        </is>
      </c>
      <c r="C12" s="6" t="inlineStr">
        <is>
          <t>Working Capital / CC Limit of Rs. 5.00 Crore (Proposed)</t>
        </is>
      </c>
    </row>
    <row r="13">
      <c r="B13" s="5" t="inlineStr">
        <is>
          <t>Total Credit Facility</t>
        </is>
      </c>
      <c r="C13" s="6" t="inlineStr">
        <is>
          <t>Rs. 75.00 Crore</t>
        </is>
      </c>
    </row>
    <row r="15" ht="20" customHeight="1">
      <c r="B15" s="3" t="inlineStr">
        <is>
          <t>LENDER / BANK SUBMISSION</t>
        </is>
      </c>
      <c r="C15" s="4" t="n"/>
    </row>
    <row r="16">
      <c r="B16" s="5" t="inlineStr">
        <is>
          <t>Submitted To (Bank Name)</t>
        </is>
      </c>
      <c r="C16" s="6" t="inlineStr">
        <is>
          <t>State Bank of India</t>
        </is>
      </c>
    </row>
    <row r="17">
      <c r="B17" s="5" t="inlineStr">
        <is>
          <t>Branch Name</t>
        </is>
      </c>
      <c r="C17" s="6" t="inlineStr">
        <is>
          <t>Commercial &amp; Industrial Finance Branch</t>
        </is>
      </c>
    </row>
    <row r="18">
      <c r="B18" s="5" t="inlineStr">
        <is>
          <t>Branch Address</t>
        </is>
      </c>
      <c r="C18" s="6" t="inlineStr">
        <is>
          <t>BKC Financial District, Bandra (East), Mumbai - 400051</t>
        </is>
      </c>
    </row>
    <row r="20" ht="20" customHeight="1">
      <c r="B20" s="3" t="inlineStr">
        <is>
          <t>BORROWING ENTITY DETAILS</t>
        </is>
      </c>
      <c r="C20" s="4" t="n"/>
    </row>
    <row r="21">
      <c r="B21" s="5" t="inlineStr">
        <is>
          <t>Name of the Entity</t>
        </is>
      </c>
      <c r="C21" s="6" t="inlineStr">
        <is>
          <t>Grand Horizon Hospitality LLP</t>
        </is>
      </c>
    </row>
    <row r="22">
      <c r="B22" s="5" t="inlineStr">
        <is>
          <t>Constitution</t>
        </is>
      </c>
      <c r="C22" s="6" t="inlineStr">
        <is>
          <t>Limited Liability Partnership (LLP)</t>
        </is>
      </c>
    </row>
    <row r="23">
      <c r="B23" s="5" t="inlineStr">
        <is>
          <t>Registered Office Address</t>
        </is>
      </c>
      <c r="C23" s="6" t="inlineStr">
        <is>
          <t>124 Hospitality Boulevard, Mumbai</t>
        </is>
      </c>
    </row>
    <row r="24">
      <c r="B24" s="5" t="inlineStr">
        <is>
          <t>Date of Commencement</t>
        </is>
      </c>
      <c r="C24" s="6" t="inlineStr">
        <is>
          <t>15-Aug-2026</t>
        </is>
      </c>
    </row>
    <row r="25">
      <c r="B25" s="5" t="inlineStr">
        <is>
          <t>Permanent Account Number (PAN)</t>
        </is>
      </c>
      <c r="C25" s="6" t="inlineStr">
        <is>
          <t>AAAFG1234H</t>
        </is>
      </c>
    </row>
    <row r="26">
      <c r="B26" s="5" t="inlineStr">
        <is>
          <t>GST Registration Number (GSTIN)</t>
        </is>
      </c>
      <c r="C26" s="6" t="inlineStr">
        <is>
          <t>06AAAFG1234H1Z5</t>
        </is>
      </c>
    </row>
    <row r="27">
      <c r="B27" s="5" t="inlineStr">
        <is>
          <t>Udyam (MSME) Registration</t>
        </is>
      </c>
      <c r="C27" s="6" t="inlineStr">
        <is>
          <t>UDYAM-MH-03-0012345 (Medium)</t>
        </is>
      </c>
    </row>
    <row r="28">
      <c r="B28" s="5" t="inlineStr">
        <is>
          <t>Corporate Identity Number (CIN)</t>
        </is>
      </c>
      <c r="C28" s="6" t="inlineStr">
        <is>
          <t>U55101MH2024PTC123456</t>
        </is>
      </c>
    </row>
    <row r="29">
      <c r="B29" s="5" t="inlineStr">
        <is>
          <t>Statutory Licences</t>
        </is>
      </c>
      <c r="C29" s="6" t="inlineStr">
        <is>
          <t>FSSAI, Star Classification, Fire NOC, Pollution Consent</t>
        </is>
      </c>
    </row>
    <row r="31" ht="20" customHeight="1">
      <c r="B31" s="3" t="inlineStr">
        <is>
          <t>PROMOTER / MANAGEMENT DETAILS</t>
        </is>
      </c>
      <c r="C31" s="4" t="n"/>
    </row>
    <row r="32">
      <c r="B32" s="5" t="inlineStr">
        <is>
          <t>Promoter / Managing Director</t>
        </is>
      </c>
      <c r="C32" s="6" t="inlineStr">
        <is>
          <t>Rajesh V. Sharma</t>
        </is>
      </c>
    </row>
    <row r="33">
      <c r="B33" s="5" t="inlineStr">
        <is>
          <t>Promoter Shareholding &amp; Net Worth</t>
        </is>
      </c>
      <c r="C33" s="6" t="inlineStr">
        <is>
          <t>65.0% Equity | Net Worth: ₹ 95.00 Cr</t>
        </is>
      </c>
    </row>
    <row r="34">
      <c r="B34" s="5" t="inlineStr">
        <is>
          <t>Authorised Signatory</t>
        </is>
      </c>
      <c r="C34" s="6" t="inlineStr">
        <is>
          <t>Rajesh V. Sharma (Managing Director)</t>
        </is>
      </c>
    </row>
    <row r="35">
      <c r="B35" s="5" t="inlineStr">
        <is>
          <t>Promoter CIBIL / Credit Score</t>
        </is>
      </c>
      <c r="C35" s="6" t="inlineStr">
        <is>
          <t>785 (Excellent Track Record)</t>
        </is>
      </c>
    </row>
  </sheetData>
  <pageMargins left="0.75" right="0.75" top="1" bottom="1" header="0.5" footer="0.5"/>
  <pageSetup orientation="portrait" paperSize="9" fitToHeight="0" fitToWidth="1"/>
  <headerFooter>
    <oddHeader>&amp;LGrand Horizon Hospitality LLP  |  Cover</oddHeader>
    <oddFooter>&amp;LConfidential - Bank Credit Appraisal Dossier&amp;RPage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B1" s="7" t="inlineStr">
        <is>
          <t>DETAILED PROJECT REPORT - FINANCIAL MODEL ASSUMPTIONS</t>
        </is>
      </c>
    </row>
    <row r="2">
      <c r="B2" s="8" t="inlineStr">
        <is>
          <t>All amounts in ₹ in Crore unless stated otherwise. Input cells in blue font with light yellow fill.</t>
        </is>
      </c>
    </row>
    <row r="3"/>
    <row r="4">
      <c r="B4" s="3" t="inlineStr">
        <is>
          <t>1. PROJECT TIMELINE &amp; CAPACITY</t>
        </is>
      </c>
      <c r="C4" s="4" t="n"/>
    </row>
    <row r="5">
      <c r="B5" s="6" t="inlineStr">
        <is>
          <t>Construction Start Financial Year (FY)</t>
        </is>
      </c>
      <c r="C5" s="9" t="n">
        <v>2024</v>
      </c>
    </row>
    <row r="6">
      <c r="B6" s="6" t="inlineStr">
        <is>
          <t>Construction Phasing Period (Quarters)</t>
        </is>
      </c>
      <c r="C6" s="9" t="n">
        <v>8</v>
      </c>
    </row>
    <row r="7">
      <c r="B7" s="6" t="inlineStr">
        <is>
          <t>Operating Projection Horizon (Years)</t>
        </is>
      </c>
      <c r="C7" s="9" t="n">
        <v>10</v>
      </c>
    </row>
    <row r="8">
      <c r="B8" s="6" t="inlineStr">
        <is>
          <t>Hotel Room Capacity (Keys)</t>
        </is>
      </c>
      <c r="C8" s="9" t="n">
        <v>125</v>
      </c>
    </row>
    <row r="9">
      <c r="B9" s="6" t="inlineStr">
        <is>
          <t>Operating Days per Calendar Year</t>
        </is>
      </c>
      <c r="C9" s="9" t="n">
        <v>365</v>
      </c>
    </row>
    <row r="10"/>
    <row r="11">
      <c r="B11" s="3" t="inlineStr">
        <is>
          <t>2. TARIFF &amp; OCCUPANCY PARAMETERS</t>
        </is>
      </c>
      <c r="C11" s="4" t="n"/>
    </row>
    <row r="12">
      <c r="B12" s="6" t="inlineStr">
        <is>
          <t>Initial Room Tariff in Year 1 (₹ per room/day)</t>
        </is>
      </c>
      <c r="C12" s="10" t="n">
        <v>10000</v>
      </c>
    </row>
    <row r="13">
      <c r="B13" s="6" t="inlineStr">
        <is>
          <t>Annual Tariff Escalation Rate</t>
        </is>
      </c>
      <c r="C13" s="11" t="n">
        <v>0.015</v>
      </c>
    </row>
    <row r="14">
      <c r="B14" s="6" t="inlineStr">
        <is>
          <t>Year 1 Occupancy Rate</t>
        </is>
      </c>
      <c r="C14" s="11" t="n">
        <v>0.65</v>
      </c>
    </row>
    <row r="15">
      <c r="B15" s="6" t="inlineStr">
        <is>
          <t>Annual Occupancy Ramp-Up Rate</t>
        </is>
      </c>
      <c r="C15" s="11" t="n">
        <v>0.025</v>
      </c>
    </row>
    <row r="16">
      <c r="B16" s="6" t="inlineStr">
        <is>
          <t>Maximum Occupancy Cap</t>
        </is>
      </c>
      <c r="C16" s="11" t="n">
        <v>0.8</v>
      </c>
    </row>
    <row r="17">
      <c r="B17" s="6" t="inlineStr">
        <is>
          <t>Rooms Revenue Share of Total Revenue</t>
        </is>
      </c>
      <c r="C17" s="11" t="n">
        <v>0.55</v>
      </c>
    </row>
    <row r="18">
      <c r="B18" s="6" t="inlineStr">
        <is>
          <t>F&amp;B Revenue Share of Total Revenue</t>
        </is>
      </c>
      <c r="C18" s="11" t="n">
        <v>0.3</v>
      </c>
    </row>
    <row r="19">
      <c r="B19" s="6" t="inlineStr">
        <is>
          <t>Other Sources Share of Total Revenue</t>
        </is>
      </c>
      <c r="C19" s="11" t="n">
        <v>0.15</v>
      </c>
    </row>
    <row r="20"/>
    <row r="21">
      <c r="B21" s="3" t="inlineStr">
        <is>
          <t>3. OPERATING EXPENDITURE BENCHMARKS (% OF REVENUE)</t>
        </is>
      </c>
      <c r="C21" s="4" t="n"/>
    </row>
    <row r="22">
      <c r="B22" s="6" t="inlineStr">
        <is>
          <t>F&amp;B Consumables Cost (% of Total Revenue)</t>
        </is>
      </c>
      <c r="C22" s="11" t="n">
        <v>0.075</v>
      </c>
    </row>
    <row r="23">
      <c r="B23" s="6" t="inlineStr">
        <is>
          <t>Employee Costs (% of Total Revenue)</t>
        </is>
      </c>
      <c r="C23" s="11" t="n">
        <v>0.2</v>
      </c>
    </row>
    <row r="24">
      <c r="B24" s="6" t="inlineStr">
        <is>
          <t>Power &amp; Fuel Expenses (% of Total Revenue)</t>
        </is>
      </c>
      <c r="C24" s="11" t="n">
        <v>0.06</v>
      </c>
    </row>
    <row r="25">
      <c r="B25" s="6" t="inlineStr">
        <is>
          <t>Other Variable Operating Expenses (% of Total Revenue)</t>
        </is>
      </c>
      <c r="C25" s="11" t="n">
        <v>0.04</v>
      </c>
    </row>
    <row r="26">
      <c r="B26" s="6" t="inlineStr">
        <is>
          <t>Management / Service Fees (% of Room Revenue)</t>
        </is>
      </c>
      <c r="C26" s="11" t="n">
        <v>0.05</v>
      </c>
    </row>
    <row r="27">
      <c r="B27" s="6" t="inlineStr">
        <is>
          <t>Administrative &amp; General Expenses (% of Year 1 Rev)</t>
        </is>
      </c>
      <c r="C27" s="11" t="n">
        <v>0.2</v>
      </c>
    </row>
    <row r="28">
      <c r="B28" s="6" t="inlineStr">
        <is>
          <t>Annual Admin Expenses Inflation Rate</t>
        </is>
      </c>
      <c r="C28" s="11" t="n">
        <v>0.1</v>
      </c>
    </row>
    <row r="29"/>
    <row r="30">
      <c r="B30" s="3" t="inlineStr">
        <is>
          <t>4. DEPRECIATION, TAXATION &amp; FINANCING PARAMETERS</t>
        </is>
      </c>
      <c r="C30" s="4" t="n"/>
    </row>
    <row r="31">
      <c r="B31" s="6" t="inlineStr">
        <is>
          <t>Useful Asset Life: Hotel Building (Years)</t>
        </is>
      </c>
      <c r="C31" s="9" t="n">
        <v>40</v>
      </c>
    </row>
    <row r="32">
      <c r="B32" s="6" t="inlineStr">
        <is>
          <t>Useful Asset Life: Plant &amp; Equipment (Years)</t>
        </is>
      </c>
      <c r="C32" s="9" t="n">
        <v>15</v>
      </c>
    </row>
    <row r="33">
      <c r="B33" s="6" t="inlineStr">
        <is>
          <t>Applicable Corporate Tax Rate</t>
        </is>
      </c>
      <c r="C33" s="11" t="n">
        <v>0.33</v>
      </c>
    </row>
    <row r="34">
      <c r="B34" s="6" t="inlineStr">
        <is>
          <t>Term Loan Interest Rate (p.a.)</t>
        </is>
      </c>
      <c r="C34" s="11" t="n">
        <v>0.1</v>
      </c>
    </row>
    <row r="35">
      <c r="B35" s="6" t="inlineStr">
        <is>
          <t>Term Loan Repayment Tenure (Years)</t>
        </is>
      </c>
      <c r="C35" s="9" t="n">
        <v>10</v>
      </c>
    </row>
    <row r="36">
      <c r="B36" s="6" t="inlineStr">
        <is>
          <t>Total Installments (Quarterly / Monthly)</t>
        </is>
      </c>
      <c r="C36" s="9" t="n">
        <v>120</v>
      </c>
    </row>
    <row r="37"/>
    <row r="38">
      <c r="B38" s="3" t="inlineStr">
        <is>
          <t>5. ANNUAL TERM LOAN PRINCIPAL REPAYMENT SCHEDULE (% OF LOAN)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C39" s="12" t="inlineStr">
        <is>
          <t>Y1</t>
        </is>
      </c>
      <c r="D39" s="12" t="inlineStr">
        <is>
          <t>Y2</t>
        </is>
      </c>
      <c r="E39" s="12" t="inlineStr">
        <is>
          <t>Y3</t>
        </is>
      </c>
      <c r="F39" s="12" t="inlineStr">
        <is>
          <t>Y4</t>
        </is>
      </c>
      <c r="G39" s="12" t="inlineStr">
        <is>
          <t>Y5</t>
        </is>
      </c>
      <c r="H39" s="12" t="inlineStr">
        <is>
          <t>Y6</t>
        </is>
      </c>
      <c r="I39" s="12" t="inlineStr">
        <is>
          <t>Y7</t>
        </is>
      </c>
      <c r="J39" s="12" t="inlineStr">
        <is>
          <t>Y8</t>
        </is>
      </c>
      <c r="K39" s="12" t="inlineStr">
        <is>
          <t>Y9</t>
        </is>
      </c>
      <c r="L39" s="12" t="inlineStr">
        <is>
          <t>Y10</t>
        </is>
      </c>
    </row>
    <row r="40">
      <c r="B40" s="6" t="inlineStr">
        <is>
          <t>Repayment Percentage of Total Term Loan</t>
        </is>
      </c>
      <c r="C40" s="11" t="n">
        <v>0.025</v>
      </c>
      <c r="D40" s="11" t="n">
        <v>0.05</v>
      </c>
      <c r="E40" s="11" t="n">
        <v>0.075</v>
      </c>
      <c r="F40" s="11" t="n">
        <v>0.1</v>
      </c>
      <c r="G40" s="11" t="n">
        <v>0.125</v>
      </c>
      <c r="H40" s="11" t="n">
        <v>0.125</v>
      </c>
      <c r="I40" s="11" t="n">
        <v>0.125</v>
      </c>
      <c r="J40" s="11" t="n">
        <v>0.125</v>
      </c>
      <c r="K40" s="11" t="n">
        <v>0.125</v>
      </c>
      <c r="L40" s="11" t="n">
        <v>0.125</v>
      </c>
    </row>
    <row r="41"/>
    <row r="42">
      <c r="B42" s="3" t="inlineStr">
        <is>
          <t>6. PROJECT COST ITEMS, PROMOTER MARGINS &amp; QUARTERLY PHASING (₹ in Crore)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B43" s="13" t="inlineStr">
        <is>
          <t>Cost Item Description</t>
        </is>
      </c>
      <c r="C43" s="12" t="inlineStr">
        <is>
          <t>Estimated Cost (₹ in Crore)</t>
        </is>
      </c>
      <c r="D43" s="12" t="inlineStr">
        <is>
          <t>Margin %</t>
        </is>
      </c>
      <c r="E43" s="12" t="inlineStr">
        <is>
          <t>Category</t>
        </is>
      </c>
      <c r="F43" s="12" t="inlineStr">
        <is>
          <t>Bldg Share %</t>
        </is>
      </c>
      <c r="G43" s="12" t="inlineStr">
        <is>
          <t>Q1</t>
        </is>
      </c>
      <c r="H43" s="12" t="inlineStr">
        <is>
          <t>Q2</t>
        </is>
      </c>
      <c r="I43" s="12" t="inlineStr">
        <is>
          <t>Q3</t>
        </is>
      </c>
      <c r="J43" s="12" t="inlineStr">
        <is>
          <t>Q4</t>
        </is>
      </c>
      <c r="K43" s="12" t="inlineStr">
        <is>
          <t>Q5</t>
        </is>
      </c>
      <c r="L43" s="12" t="inlineStr">
        <is>
          <t>Q6</t>
        </is>
      </c>
      <c r="M43" s="12" t="inlineStr">
        <is>
          <t>Q7</t>
        </is>
      </c>
      <c r="N43" s="12" t="inlineStr">
        <is>
          <t>Q8</t>
        </is>
      </c>
    </row>
    <row r="44">
      <c r="B44" s="6" t="inlineStr">
        <is>
          <t>Cost of Land [already acquired by the Company]</t>
        </is>
      </c>
      <c r="C44" s="10" t="n">
        <v>20</v>
      </c>
      <c r="D44" s="11" t="n">
        <v>1</v>
      </c>
      <c r="E44" s="14" t="inlineStr">
        <is>
          <t>land</t>
        </is>
      </c>
      <c r="F44" s="11" t="n">
        <v>0.5</v>
      </c>
      <c r="G44" s="11" t="n">
        <v>1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</row>
    <row r="45">
      <c r="B45" s="6" t="inlineStr">
        <is>
          <t>Cost of Approvals / Premiums &amp; Regulatory Costs</t>
        </is>
      </c>
      <c r="C45" s="10" t="n">
        <v>10</v>
      </c>
      <c r="D45" s="11" t="n">
        <v>0.5</v>
      </c>
      <c r="E45" s="14" t="inlineStr">
        <is>
          <t>building</t>
        </is>
      </c>
      <c r="F45" s="11" t="n">
        <v>0.5</v>
      </c>
      <c r="G45" s="11" t="n">
        <v>0.25</v>
      </c>
      <c r="H45" s="11" t="n">
        <v>0.5</v>
      </c>
      <c r="I45" s="11" t="n">
        <v>0.1</v>
      </c>
      <c r="J45" s="11" t="n">
        <v>0</v>
      </c>
      <c r="K45" s="11" t="n">
        <v>0</v>
      </c>
      <c r="L45" s="11" t="n">
        <v>0</v>
      </c>
      <c r="M45" s="11" t="n">
        <v>0.1</v>
      </c>
      <c r="N45" s="11" t="n">
        <v>0</v>
      </c>
    </row>
    <row r="46">
      <c r="B46" s="6" t="inlineStr">
        <is>
          <t>Cost of Construction of the Hotel Building</t>
        </is>
      </c>
      <c r="C46" s="10" t="n">
        <v>40</v>
      </c>
      <c r="D46" s="11" t="n">
        <v>0.3</v>
      </c>
      <c r="E46" s="14" t="inlineStr">
        <is>
          <t>building</t>
        </is>
      </c>
      <c r="F46" s="11" t="n">
        <v>0.5</v>
      </c>
      <c r="G46" s="11" t="n">
        <v>0.1</v>
      </c>
      <c r="H46" s="11" t="n">
        <v>0.2</v>
      </c>
      <c r="I46" s="11" t="n">
        <v>0.3</v>
      </c>
      <c r="J46" s="11" t="n">
        <v>0.35</v>
      </c>
      <c r="K46" s="11" t="n">
        <v>0.05</v>
      </c>
      <c r="L46" s="11" t="n">
        <v>0</v>
      </c>
      <c r="M46" s="11" t="n">
        <v>0</v>
      </c>
      <c r="N46" s="11" t="n">
        <v>0</v>
      </c>
    </row>
    <row r="47">
      <c r="B47" s="6" t="inlineStr">
        <is>
          <t>Cost of Interiors &amp; Kitchen Equipments</t>
        </is>
      </c>
      <c r="C47" s="10" t="n">
        <v>50</v>
      </c>
      <c r="D47" s="11" t="n">
        <v>0.25</v>
      </c>
      <c r="E47" s="14" t="inlineStr">
        <is>
          <t>equipment</t>
        </is>
      </c>
      <c r="F47" s="11" t="n">
        <v>0.5</v>
      </c>
      <c r="G47" s="11" t="n">
        <v>0</v>
      </c>
      <c r="H47" s="11" t="n">
        <v>0</v>
      </c>
      <c r="I47" s="11" t="n">
        <v>0.1</v>
      </c>
      <c r="J47" s="11" t="n">
        <v>0.1</v>
      </c>
      <c r="K47" s="11" t="n">
        <v>0.2</v>
      </c>
      <c r="L47" s="11" t="n">
        <v>0.2</v>
      </c>
      <c r="M47" s="11" t="n">
        <v>0.3</v>
      </c>
      <c r="N47" s="11" t="n">
        <v>0</v>
      </c>
    </row>
    <row r="48">
      <c r="B48" s="6" t="inlineStr">
        <is>
          <t>Contingency Margin</t>
        </is>
      </c>
      <c r="C48" s="10" t="n">
        <v>7.5</v>
      </c>
      <c r="D48" s="11" t="n">
        <v>1</v>
      </c>
      <c r="E48" s="14" t="inlineStr">
        <is>
          <t>shared</t>
        </is>
      </c>
      <c r="F48" s="11" t="n">
        <v>0.5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0.5</v>
      </c>
      <c r="N48" s="11" t="n">
        <v>0</v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Assumptions</oddHeader>
    <oddFooter>&amp;LConfidential - Bank Credit Appraisal Dossier&amp;RPage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7" customWidth="1" min="3" max="3"/>
    <col width="20" customWidth="1" min="4" max="4"/>
    <col width="20" customWidth="1" min="5" max="5"/>
    <col width="17" customWidth="1" min="6" max="6"/>
    <col width="19" customWidth="1" min="7" max="7"/>
    <col width="17" customWidth="1" min="8" max="8"/>
    <col width="17" customWidth="1" min="9" max="9"/>
    <col width="17" customWidth="1" min="10" max="10"/>
    <col width="18" customWidth="1" min="11" max="11"/>
  </cols>
  <sheetData>
    <row r="1">
      <c r="B1" s="7" t="inlineStr">
        <is>
          <t>PROJECT COST BREAKDOWN, FINANCING PLAN &amp; DRAWDOWN SCHEDULE (₹ in Crore)</t>
        </is>
      </c>
    </row>
    <row r="2">
      <c r="B2" s="8" t="inlineStr">
        <is>
          <t>All figures in ₹ in Crore. Fully dynamic formulas linked to Assumptions sheet.</t>
        </is>
      </c>
    </row>
    <row r="3"/>
    <row r="4">
      <c r="B4" s="3" t="inlineStr">
        <is>
          <t>1. PROJECT COST BREAKDOWN &amp; FINANCING PLAN</t>
        </is>
      </c>
      <c r="C4" s="4" t="n"/>
      <c r="D4" s="4" t="n"/>
      <c r="E4" s="4" t="n"/>
      <c r="F4" s="4" t="n"/>
      <c r="G4" s="4" t="n"/>
      <c r="H4" s="4" t="n"/>
    </row>
    <row r="5">
      <c r="B5" s="13" t="inlineStr">
        <is>
          <t>Cost Component / Particulars</t>
        </is>
      </c>
      <c r="C5" s="12" t="inlineStr">
        <is>
          <t>Estimated Cost</t>
        </is>
      </c>
      <c r="D5" s="12" t="inlineStr">
        <is>
          <t>Promoter Margin %</t>
        </is>
      </c>
      <c r="E5" s="12" t="inlineStr">
        <is>
          <t>Promoter Contribution</t>
        </is>
      </c>
      <c r="F5" s="12" t="inlineStr">
        <is>
          <t>Bank Finance</t>
        </is>
      </c>
      <c r="G5" s="12" t="inlineStr">
        <is>
          <t>Promoter Share %</t>
        </is>
      </c>
      <c r="H5" s="12" t="inlineStr">
        <is>
          <t>Bank Share %</t>
        </is>
      </c>
    </row>
    <row r="6">
      <c r="B6" s="6">
        <f>Assumptions!B44</f>
        <v/>
      </c>
      <c r="C6" s="15">
        <f>Assumptions!C44</f>
        <v/>
      </c>
      <c r="D6" s="16">
        <f>Assumptions!D44</f>
        <v/>
      </c>
      <c r="E6" s="15">
        <f>C6*D6</f>
        <v/>
      </c>
      <c r="F6" s="15">
        <f>C6-E6</f>
        <v/>
      </c>
      <c r="G6" s="16">
        <f>E6/C6</f>
        <v/>
      </c>
      <c r="H6" s="16">
        <f>F6/C6</f>
        <v/>
      </c>
    </row>
    <row r="7">
      <c r="B7" s="6">
        <f>Assumptions!B45</f>
        <v/>
      </c>
      <c r="C7" s="15">
        <f>Assumptions!C45</f>
        <v/>
      </c>
      <c r="D7" s="16">
        <f>Assumptions!D45</f>
        <v/>
      </c>
      <c r="E7" s="15">
        <f>C7*D7</f>
        <v/>
      </c>
      <c r="F7" s="15">
        <f>C7-E7</f>
        <v/>
      </c>
      <c r="G7" s="16">
        <f>E7/C7</f>
        <v/>
      </c>
      <c r="H7" s="16">
        <f>F7/C7</f>
        <v/>
      </c>
    </row>
    <row r="8">
      <c r="B8" s="6">
        <f>Assumptions!B46</f>
        <v/>
      </c>
      <c r="C8" s="15">
        <f>Assumptions!C46</f>
        <v/>
      </c>
      <c r="D8" s="16">
        <f>Assumptions!D46</f>
        <v/>
      </c>
      <c r="E8" s="15">
        <f>C8*D8</f>
        <v/>
      </c>
      <c r="F8" s="15">
        <f>C8-E8</f>
        <v/>
      </c>
      <c r="G8" s="16">
        <f>E8/C8</f>
        <v/>
      </c>
      <c r="H8" s="16">
        <f>F8/C8</f>
        <v/>
      </c>
    </row>
    <row r="9">
      <c r="B9" s="6">
        <f>Assumptions!B47</f>
        <v/>
      </c>
      <c r="C9" s="15">
        <f>Assumptions!C47</f>
        <v/>
      </c>
      <c r="D9" s="16">
        <f>Assumptions!D47</f>
        <v/>
      </c>
      <c r="E9" s="15">
        <f>C9*D9</f>
        <v/>
      </c>
      <c r="F9" s="15">
        <f>C9-E9</f>
        <v/>
      </c>
      <c r="G9" s="16">
        <f>E9/C9</f>
        <v/>
      </c>
      <c r="H9" s="16">
        <f>F9/C9</f>
        <v/>
      </c>
    </row>
    <row r="10">
      <c r="B10" s="6">
        <f>Assumptions!B48</f>
        <v/>
      </c>
      <c r="C10" s="15">
        <f>Assumptions!C48</f>
        <v/>
      </c>
      <c r="D10" s="16">
        <f>Assumptions!D48</f>
        <v/>
      </c>
      <c r="E10" s="15">
        <f>C10*D10</f>
        <v/>
      </c>
      <c r="F10" s="15">
        <f>C10-E10</f>
        <v/>
      </c>
      <c r="G10" s="16">
        <f>E10/C10</f>
        <v/>
      </c>
      <c r="H10" s="16">
        <f>F10/C10</f>
        <v/>
      </c>
    </row>
    <row r="11">
      <c r="B11" s="17" t="inlineStr">
        <is>
          <t>Core Project Cost [A]</t>
        </is>
      </c>
      <c r="C11" s="18">
        <f>SUM(C6:C10)</f>
        <v/>
      </c>
      <c r="D11" s="12" t="inlineStr">
        <is>
          <t>-</t>
        </is>
      </c>
      <c r="E11" s="18">
        <f>SUM(E6:E10)</f>
        <v/>
      </c>
      <c r="F11" s="18">
        <f>SUM(F6:F10)</f>
        <v/>
      </c>
      <c r="G11" s="19">
        <f>E11/C11</f>
        <v/>
      </c>
      <c r="H11" s="19">
        <f>F11/C11</f>
        <v/>
      </c>
    </row>
    <row r="12">
      <c r="B12" s="6" t="inlineStr">
        <is>
          <t>Interest During Construction (IDC) [B]</t>
        </is>
      </c>
      <c r="C12" s="15">
        <f>K36</f>
        <v/>
      </c>
      <c r="D12" s="16" t="n">
        <v>1</v>
      </c>
      <c r="E12" s="15">
        <f>C12</f>
        <v/>
      </c>
      <c r="F12" s="15" t="n">
        <v>0</v>
      </c>
      <c r="G12" s="16" t="n">
        <v>1</v>
      </c>
      <c r="H12" s="16" t="n">
        <v>0</v>
      </c>
    </row>
    <row r="13">
      <c r="B13" s="20" t="inlineStr">
        <is>
          <t>Total Project Cost [A + B]</t>
        </is>
      </c>
      <c r="C13" s="21">
        <f>C11+C12</f>
        <v/>
      </c>
      <c r="D13" s="22" t="inlineStr">
        <is>
          <t>-</t>
        </is>
      </c>
      <c r="E13" s="21">
        <f>E11+E12</f>
        <v/>
      </c>
      <c r="F13" s="21">
        <f>F11+F12</f>
        <v/>
      </c>
      <c r="G13" s="23">
        <f>E13/C13</f>
        <v/>
      </c>
      <c r="H13" s="23">
        <f>F13/C13</f>
        <v/>
      </c>
    </row>
    <row r="14">
      <c r="B14" s="24" t="inlineStr">
        <is>
          <t>Debt : Equity Ratio (Bank Finance / Promoters Contribution)</t>
        </is>
      </c>
      <c r="C14" s="25">
        <f>F13/E13</f>
        <v/>
      </c>
    </row>
    <row r="15"/>
    <row r="16">
      <c r="B16" s="3" t="inlineStr">
        <is>
          <t>2. QUARTERLY CAPITAL EXPENDITURE PHASING (₹ in Crore)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17" t="inlineStr">
        <is>
          <t>Cost Item Description</t>
        </is>
      </c>
      <c r="C17" s="12" t="inlineStr">
        <is>
          <t>Q1</t>
        </is>
      </c>
      <c r="D17" s="12" t="inlineStr">
        <is>
          <t>Q2</t>
        </is>
      </c>
      <c r="E17" s="12" t="inlineStr">
        <is>
          <t>Q3</t>
        </is>
      </c>
      <c r="F17" s="12" t="inlineStr">
        <is>
          <t>Q4</t>
        </is>
      </c>
      <c r="G17" s="12" t="inlineStr">
        <is>
          <t>Q5</t>
        </is>
      </c>
      <c r="H17" s="12" t="inlineStr">
        <is>
          <t>Q6</t>
        </is>
      </c>
      <c r="I17" s="12" t="inlineStr">
        <is>
          <t>Q7</t>
        </is>
      </c>
      <c r="J17" s="12" t="inlineStr">
        <is>
          <t>Q8</t>
        </is>
      </c>
      <c r="K17" s="12" t="inlineStr">
        <is>
          <t>Total Capex</t>
        </is>
      </c>
    </row>
    <row r="18">
      <c r="B18" s="6">
        <f>Assumptions!B44</f>
        <v/>
      </c>
      <c r="C18" s="15">
        <f>Assumptions!$C$44*Assumptions!G$44</f>
        <v/>
      </c>
      <c r="D18" s="15">
        <f>Assumptions!$C$44*Assumptions!H$44</f>
        <v/>
      </c>
      <c r="E18" s="15">
        <f>Assumptions!$C$44*Assumptions!I$44</f>
        <v/>
      </c>
      <c r="F18" s="15">
        <f>Assumptions!$C$44*Assumptions!J$44</f>
        <v/>
      </c>
      <c r="G18" s="15">
        <f>Assumptions!$C$44*Assumptions!K$44</f>
        <v/>
      </c>
      <c r="H18" s="15">
        <f>Assumptions!$C$44*Assumptions!L$44</f>
        <v/>
      </c>
      <c r="I18" s="15">
        <f>Assumptions!$C$44*Assumptions!M$44</f>
        <v/>
      </c>
      <c r="J18" s="15">
        <f>Assumptions!$C$44*Assumptions!N$44</f>
        <v/>
      </c>
      <c r="K18" s="26">
        <f>SUM(C18:J18)</f>
        <v/>
      </c>
    </row>
    <row r="19">
      <c r="B19" s="6">
        <f>Assumptions!B45</f>
        <v/>
      </c>
      <c r="C19" s="15">
        <f>Assumptions!$C$45*Assumptions!G$45</f>
        <v/>
      </c>
      <c r="D19" s="15">
        <f>Assumptions!$C$45*Assumptions!H$45</f>
        <v/>
      </c>
      <c r="E19" s="15">
        <f>Assumptions!$C$45*Assumptions!I$45</f>
        <v/>
      </c>
      <c r="F19" s="15">
        <f>Assumptions!$C$45*Assumptions!J$45</f>
        <v/>
      </c>
      <c r="G19" s="15">
        <f>Assumptions!$C$45*Assumptions!K$45</f>
        <v/>
      </c>
      <c r="H19" s="15">
        <f>Assumptions!$C$45*Assumptions!L$45</f>
        <v/>
      </c>
      <c r="I19" s="15">
        <f>Assumptions!$C$45*Assumptions!M$45</f>
        <v/>
      </c>
      <c r="J19" s="15">
        <f>Assumptions!$C$45*Assumptions!N$45</f>
        <v/>
      </c>
      <c r="K19" s="26">
        <f>SUM(C19:J19)</f>
        <v/>
      </c>
    </row>
    <row r="20">
      <c r="B20" s="6">
        <f>Assumptions!B46</f>
        <v/>
      </c>
      <c r="C20" s="15">
        <f>Assumptions!$C$46*Assumptions!G$46</f>
        <v/>
      </c>
      <c r="D20" s="15">
        <f>Assumptions!$C$46*Assumptions!H$46</f>
        <v/>
      </c>
      <c r="E20" s="15">
        <f>Assumptions!$C$46*Assumptions!I$46</f>
        <v/>
      </c>
      <c r="F20" s="15">
        <f>Assumptions!$C$46*Assumptions!J$46</f>
        <v/>
      </c>
      <c r="G20" s="15">
        <f>Assumptions!$C$46*Assumptions!K$46</f>
        <v/>
      </c>
      <c r="H20" s="15">
        <f>Assumptions!$C$46*Assumptions!L$46</f>
        <v/>
      </c>
      <c r="I20" s="15">
        <f>Assumptions!$C$46*Assumptions!M$46</f>
        <v/>
      </c>
      <c r="J20" s="15">
        <f>Assumptions!$C$46*Assumptions!N$46</f>
        <v/>
      </c>
      <c r="K20" s="26">
        <f>SUM(C20:J20)</f>
        <v/>
      </c>
    </row>
    <row r="21">
      <c r="B21" s="6">
        <f>Assumptions!B47</f>
        <v/>
      </c>
      <c r="C21" s="15">
        <f>Assumptions!$C$47*Assumptions!G$47</f>
        <v/>
      </c>
      <c r="D21" s="15">
        <f>Assumptions!$C$47*Assumptions!H$47</f>
        <v/>
      </c>
      <c r="E21" s="15">
        <f>Assumptions!$C$47*Assumptions!I$47</f>
        <v/>
      </c>
      <c r="F21" s="15">
        <f>Assumptions!$C$47*Assumptions!J$47</f>
        <v/>
      </c>
      <c r="G21" s="15">
        <f>Assumptions!$C$47*Assumptions!K$47</f>
        <v/>
      </c>
      <c r="H21" s="15">
        <f>Assumptions!$C$47*Assumptions!L$47</f>
        <v/>
      </c>
      <c r="I21" s="15">
        <f>Assumptions!$C$47*Assumptions!M$47</f>
        <v/>
      </c>
      <c r="J21" s="15">
        <f>Assumptions!$C$47*Assumptions!N$47</f>
        <v/>
      </c>
      <c r="K21" s="26">
        <f>SUM(C21:J21)</f>
        <v/>
      </c>
    </row>
    <row r="22">
      <c r="B22" s="17" t="inlineStr">
        <is>
          <t>Total Capex Incurred per Quarter</t>
        </is>
      </c>
      <c r="C22" s="18">
        <f>SUM(C18:C21)</f>
        <v/>
      </c>
      <c r="D22" s="18">
        <f>SUM(D18:D21)</f>
        <v/>
      </c>
      <c r="E22" s="18">
        <f>SUM(E18:E21)</f>
        <v/>
      </c>
      <c r="F22" s="18">
        <f>SUM(F18:F21)</f>
        <v/>
      </c>
      <c r="G22" s="18">
        <f>SUM(G18:G21)</f>
        <v/>
      </c>
      <c r="H22" s="18">
        <f>SUM(H18:H21)</f>
        <v/>
      </c>
      <c r="I22" s="18">
        <f>SUM(I18:I21)</f>
        <v/>
      </c>
      <c r="J22" s="18">
        <f>SUM(J18:J21)</f>
        <v/>
      </c>
      <c r="K22" s="18">
        <f>SUM(C22:J22)</f>
        <v/>
      </c>
    </row>
    <row r="23"/>
    <row r="24">
      <c r="B24" s="3" t="inlineStr">
        <is>
          <t>3. QUARTERLY BANK LOAN DRAWDOWN &amp; IDC COMPUTATION (₹ in Crore)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17" t="inlineStr">
        <is>
          <t>Item Bank Loan Drawdown</t>
        </is>
      </c>
      <c r="C25" s="12" t="inlineStr">
        <is>
          <t>Q1</t>
        </is>
      </c>
      <c r="D25" s="12" t="inlineStr">
        <is>
          <t>Q2</t>
        </is>
      </c>
      <c r="E25" s="12" t="inlineStr">
        <is>
          <t>Q3</t>
        </is>
      </c>
      <c r="F25" s="12" t="inlineStr">
        <is>
          <t>Q4</t>
        </is>
      </c>
      <c r="G25" s="12" t="inlineStr">
        <is>
          <t>Q5</t>
        </is>
      </c>
      <c r="H25" s="12" t="inlineStr">
        <is>
          <t>Q6</t>
        </is>
      </c>
      <c r="I25" s="12" t="inlineStr">
        <is>
          <t>Q7</t>
        </is>
      </c>
      <c r="J25" s="12" t="inlineStr">
        <is>
          <t>Q8</t>
        </is>
      </c>
      <c r="K25" s="12" t="inlineStr">
        <is>
          <t>Total Bank Loan</t>
        </is>
      </c>
    </row>
    <row r="26">
      <c r="B26" s="6">
        <f>Assumptions!B44</f>
        <v/>
      </c>
      <c r="C26" s="15">
        <f>C18*(1-Assumptions!$D$44)</f>
        <v/>
      </c>
      <c r="D26" s="15">
        <f>D18*(1-Assumptions!$D$44)</f>
        <v/>
      </c>
      <c r="E26" s="15">
        <f>E18*(1-Assumptions!$D$44)</f>
        <v/>
      </c>
      <c r="F26" s="15">
        <f>F18*(1-Assumptions!$D$44)</f>
        <v/>
      </c>
      <c r="G26" s="15">
        <f>G18*(1-Assumptions!$D$44)</f>
        <v/>
      </c>
      <c r="H26" s="15">
        <f>H18*(1-Assumptions!$D$44)</f>
        <v/>
      </c>
      <c r="I26" s="15">
        <f>I18*(1-Assumptions!$D$44)</f>
        <v/>
      </c>
      <c r="J26" s="15">
        <f>J18*(1-Assumptions!$D$44)</f>
        <v/>
      </c>
      <c r="K26" s="26">
        <f>SUM(C26:J26)</f>
        <v/>
      </c>
    </row>
    <row r="27">
      <c r="B27" s="6">
        <f>Assumptions!B45</f>
        <v/>
      </c>
      <c r="C27" s="15">
        <f>C19*(1-Assumptions!$D$45)</f>
        <v/>
      </c>
      <c r="D27" s="15">
        <f>D19*(1-Assumptions!$D$45)</f>
        <v/>
      </c>
      <c r="E27" s="15">
        <f>E19*(1-Assumptions!$D$45)</f>
        <v/>
      </c>
      <c r="F27" s="15">
        <f>F19*(1-Assumptions!$D$45)</f>
        <v/>
      </c>
      <c r="G27" s="15">
        <f>G19*(1-Assumptions!$D$45)</f>
        <v/>
      </c>
      <c r="H27" s="15">
        <f>H19*(1-Assumptions!$D$45)</f>
        <v/>
      </c>
      <c r="I27" s="15">
        <f>I19*(1-Assumptions!$D$45)</f>
        <v/>
      </c>
      <c r="J27" s="15">
        <f>J19*(1-Assumptions!$D$45)</f>
        <v/>
      </c>
      <c r="K27" s="26">
        <f>SUM(C27:J27)</f>
        <v/>
      </c>
    </row>
    <row r="28">
      <c r="B28" s="6">
        <f>Assumptions!B46</f>
        <v/>
      </c>
      <c r="C28" s="15">
        <f>C20*(1-Assumptions!$D$46)</f>
        <v/>
      </c>
      <c r="D28" s="15">
        <f>D20*(1-Assumptions!$D$46)</f>
        <v/>
      </c>
      <c r="E28" s="15">
        <f>E20*(1-Assumptions!$D$46)</f>
        <v/>
      </c>
      <c r="F28" s="15">
        <f>F20*(1-Assumptions!$D$46)</f>
        <v/>
      </c>
      <c r="G28" s="15">
        <f>G20*(1-Assumptions!$D$46)</f>
        <v/>
      </c>
      <c r="H28" s="15">
        <f>H20*(1-Assumptions!$D$46)</f>
        <v/>
      </c>
      <c r="I28" s="15">
        <f>I20*(1-Assumptions!$D$46)</f>
        <v/>
      </c>
      <c r="J28" s="15">
        <f>J20*(1-Assumptions!$D$46)</f>
        <v/>
      </c>
      <c r="K28" s="26">
        <f>SUM(C28:J28)</f>
        <v/>
      </c>
    </row>
    <row r="29">
      <c r="B29" s="6">
        <f>Assumptions!B47</f>
        <v/>
      </c>
      <c r="C29" s="15">
        <f>C21*(1-Assumptions!$D$47)</f>
        <v/>
      </c>
      <c r="D29" s="15">
        <f>D21*(1-Assumptions!$D$47)</f>
        <v/>
      </c>
      <c r="E29" s="15">
        <f>E21*(1-Assumptions!$D$47)</f>
        <v/>
      </c>
      <c r="F29" s="15">
        <f>F21*(1-Assumptions!$D$47)</f>
        <v/>
      </c>
      <c r="G29" s="15">
        <f>G21*(1-Assumptions!$D$47)</f>
        <v/>
      </c>
      <c r="H29" s="15">
        <f>H21*(1-Assumptions!$D$47)</f>
        <v/>
      </c>
      <c r="I29" s="15">
        <f>I21*(1-Assumptions!$D$47)</f>
        <v/>
      </c>
      <c r="J29" s="15">
        <f>J21*(1-Assumptions!$D$47)</f>
        <v/>
      </c>
      <c r="K29" s="26">
        <f>SUM(C29:J29)</f>
        <v/>
      </c>
    </row>
    <row r="30">
      <c r="B30" s="17" t="inlineStr">
        <is>
          <t>Total Bank Loan Drawn in Quarter</t>
        </is>
      </c>
      <c r="C30" s="18">
        <f>SUM(C26:C29)</f>
        <v/>
      </c>
      <c r="D30" s="18">
        <f>SUM(D26:D29)</f>
        <v/>
      </c>
      <c r="E30" s="18">
        <f>SUM(E26:E29)</f>
        <v/>
      </c>
      <c r="F30" s="18">
        <f>SUM(F26:F29)</f>
        <v/>
      </c>
      <c r="G30" s="18">
        <f>SUM(G26:G29)</f>
        <v/>
      </c>
      <c r="H30" s="18">
        <f>SUM(H26:H29)</f>
        <v/>
      </c>
      <c r="I30" s="18">
        <f>SUM(I26:I29)</f>
        <v/>
      </c>
      <c r="J30" s="18">
        <f>SUM(J26:J29)</f>
        <v/>
      </c>
      <c r="K30" s="18">
        <f>SUM(C30:J30)</f>
        <v/>
      </c>
    </row>
    <row r="31"/>
    <row r="32">
      <c r="B32" s="6" t="inlineStr">
        <is>
          <t>Opening Loan Balance</t>
        </is>
      </c>
      <c r="C32" s="15" t="n">
        <v>0</v>
      </c>
      <c r="D32" s="15">
        <f>C34</f>
        <v/>
      </c>
      <c r="E32" s="15">
        <f>D34</f>
        <v/>
      </c>
      <c r="F32" s="15">
        <f>E34</f>
        <v/>
      </c>
      <c r="G32" s="15">
        <f>F34</f>
        <v/>
      </c>
      <c r="H32" s="15">
        <f>G34</f>
        <v/>
      </c>
      <c r="I32" s="15">
        <f>H34</f>
        <v/>
      </c>
      <c r="J32" s="15">
        <f>I34</f>
        <v/>
      </c>
      <c r="K32" s="27" t="inlineStr">
        <is>
          <t>-</t>
        </is>
      </c>
    </row>
    <row r="33">
      <c r="B33" s="6" t="inlineStr">
        <is>
          <t>Add: Bank Loan Drawdown during Quarter</t>
        </is>
      </c>
      <c r="C33" s="15">
        <f>C30</f>
        <v/>
      </c>
      <c r="D33" s="15">
        <f>D30</f>
        <v/>
      </c>
      <c r="E33" s="15">
        <f>E30</f>
        <v/>
      </c>
      <c r="F33" s="15">
        <f>F30</f>
        <v/>
      </c>
      <c r="G33" s="15">
        <f>G30</f>
        <v/>
      </c>
      <c r="H33" s="15">
        <f>H30</f>
        <v/>
      </c>
      <c r="I33" s="15">
        <f>I30</f>
        <v/>
      </c>
      <c r="J33" s="15">
        <f>J30</f>
        <v/>
      </c>
      <c r="K33" s="26">
        <f>SUM(C33:J33)</f>
        <v/>
      </c>
    </row>
    <row r="34">
      <c r="B34" s="6" t="inlineStr">
        <is>
          <t>Closing Loan Balance</t>
        </is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  <c r="H34" s="15">
        <f>H32+H33</f>
        <v/>
      </c>
      <c r="I34" s="15">
        <f>I32+I33</f>
        <v/>
      </c>
      <c r="J34" s="15">
        <f>J32+J33</f>
        <v/>
      </c>
      <c r="K34" s="26">
        <f>J34</f>
        <v/>
      </c>
    </row>
    <row r="35">
      <c r="B35" s="6" t="inlineStr">
        <is>
          <t>Average Loan Balance during Quarter</t>
        </is>
      </c>
      <c r="C35" s="15">
        <f>(C32+C34)/2</f>
        <v/>
      </c>
      <c r="D35" s="15">
        <f>(D32+D34)/2</f>
        <v/>
      </c>
      <c r="E35" s="15">
        <f>(E32+E34)/2</f>
        <v/>
      </c>
      <c r="F35" s="15">
        <f>(F32+F34)/2</f>
        <v/>
      </c>
      <c r="G35" s="15">
        <f>(G32+G34)/2</f>
        <v/>
      </c>
      <c r="H35" s="15">
        <f>(H32+H34)/2</f>
        <v/>
      </c>
      <c r="I35" s="15">
        <f>(I32+I34)/2</f>
        <v/>
      </c>
      <c r="J35" s="15">
        <f>(J32+J34)/2</f>
        <v/>
      </c>
      <c r="K35" s="27" t="inlineStr">
        <is>
          <t>-</t>
        </is>
      </c>
    </row>
    <row r="36">
      <c r="B36" s="17" t="inlineStr">
        <is>
          <t>Interest During Construction (IDC) for Quarter</t>
        </is>
      </c>
      <c r="C36" s="18">
        <f>C35*Assumptions!$C$34*(3/12)</f>
        <v/>
      </c>
      <c r="D36" s="18">
        <f>D35*Assumptions!$C$34*(3/12)</f>
        <v/>
      </c>
      <c r="E36" s="18">
        <f>E35*Assumptions!$C$34*(3/12)</f>
        <v/>
      </c>
      <c r="F36" s="18">
        <f>F35*Assumptions!$C$34*(3/12)</f>
        <v/>
      </c>
      <c r="G36" s="18">
        <f>G35*Assumptions!$C$34*(3/12)</f>
        <v/>
      </c>
      <c r="H36" s="18">
        <f>H35*Assumptions!$C$34*(3/12)</f>
        <v/>
      </c>
      <c r="I36" s="18">
        <f>I35*Assumptions!$C$34*(3/12)</f>
        <v/>
      </c>
      <c r="J36" s="18">
        <f>J35*Assumptions!$C$34*(3/12)</f>
        <v/>
      </c>
      <c r="K36" s="21">
        <f>SUM(C36:J36)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Project Cost &amp; Finance</oddHeader>
    <oddFooter>&amp;LConfidential - Bank Credit Appraisal Dossier&amp;RPage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B1" s="7" t="inlineStr">
        <is>
          <t>FIXED ASSET CAPITALISATION &amp; DEPRECIATION SCHEDULE (₹ in Crore)</t>
        </is>
      </c>
    </row>
    <row r="2">
      <c r="B2" s="8" t="inlineStr">
        <is>
          <t>Straight Line Method (SLM) depreciation based on statutory useful asset life.</t>
        </is>
      </c>
    </row>
    <row r="3"/>
    <row r="4">
      <c r="B4" s="3" t="inlineStr">
        <is>
          <t>1. FIXED ASSET ALLOCATION &amp; CAPITALISATION BASE (₹ in Crore)</t>
        </is>
      </c>
      <c r="C4" s="4" t="n"/>
      <c r="D4" s="4" t="n"/>
      <c r="E4" s="4" t="n"/>
      <c r="F4" s="4" t="n"/>
    </row>
    <row r="5">
      <c r="B5" s="13" t="inlineStr">
        <is>
          <t>Cost Component</t>
        </is>
      </c>
      <c r="C5" s="12" t="inlineStr">
        <is>
          <t>Total Cost</t>
        </is>
      </c>
      <c r="D5" s="12" t="inlineStr">
        <is>
          <t>Building Base</t>
        </is>
      </c>
      <c r="E5" s="12" t="inlineStr">
        <is>
          <t>Equipment Base</t>
        </is>
      </c>
      <c r="F5" s="12" t="inlineStr">
        <is>
          <t>Land Base</t>
        </is>
      </c>
    </row>
    <row r="6">
      <c r="B6" s="6">
        <f>Assumptions!B44</f>
        <v/>
      </c>
      <c r="C6" s="15">
        <f>'Project Cost &amp; Finance'!C6</f>
        <v/>
      </c>
      <c r="D6" s="15">
        <f>IF(Assumptions!E44="building", C6, IF(Assumptions!E44="shared", C6*Assumptions!F44, 0))</f>
        <v/>
      </c>
      <c r="E6" s="15">
        <f>IF(Assumptions!E44="equipment", C6, IF(Assumptions!E44="shared", C6*(1-Assumptions!F44), 0))</f>
        <v/>
      </c>
      <c r="F6" s="15">
        <f>IF(Assumptions!E44="land", C6, 0)</f>
        <v/>
      </c>
    </row>
    <row r="7">
      <c r="B7" s="6">
        <f>Assumptions!B45</f>
        <v/>
      </c>
      <c r="C7" s="15">
        <f>'Project Cost &amp; Finance'!C7</f>
        <v/>
      </c>
      <c r="D7" s="15">
        <f>IF(Assumptions!E45="building", C7, IF(Assumptions!E45="shared", C7*Assumptions!F45, 0))</f>
        <v/>
      </c>
      <c r="E7" s="15">
        <f>IF(Assumptions!E45="equipment", C7, IF(Assumptions!E45="shared", C7*(1-Assumptions!F45), 0))</f>
        <v/>
      </c>
      <c r="F7" s="15">
        <f>IF(Assumptions!E45="land", C7, 0)</f>
        <v/>
      </c>
    </row>
    <row r="8">
      <c r="B8" s="6">
        <f>Assumptions!B46</f>
        <v/>
      </c>
      <c r="C8" s="15">
        <f>'Project Cost &amp; Finance'!C8</f>
        <v/>
      </c>
      <c r="D8" s="15">
        <f>IF(Assumptions!E46="building", C8, IF(Assumptions!E46="shared", C8*Assumptions!F46, 0))</f>
        <v/>
      </c>
      <c r="E8" s="15">
        <f>IF(Assumptions!E46="equipment", C8, IF(Assumptions!E46="shared", C8*(1-Assumptions!F46), 0))</f>
        <v/>
      </c>
      <c r="F8" s="15">
        <f>IF(Assumptions!E46="land", C8, 0)</f>
        <v/>
      </c>
    </row>
    <row r="9">
      <c r="B9" s="6">
        <f>Assumptions!B47</f>
        <v/>
      </c>
      <c r="C9" s="15">
        <f>'Project Cost &amp; Finance'!C9</f>
        <v/>
      </c>
      <c r="D9" s="15">
        <f>IF(Assumptions!E47="building", C9, IF(Assumptions!E47="shared", C9*Assumptions!F47, 0))</f>
        <v/>
      </c>
      <c r="E9" s="15">
        <f>IF(Assumptions!E47="equipment", C9, IF(Assumptions!E47="shared", C9*(1-Assumptions!F47), 0))</f>
        <v/>
      </c>
      <c r="F9" s="15">
        <f>IF(Assumptions!E47="land", C9, 0)</f>
        <v/>
      </c>
    </row>
    <row r="10">
      <c r="B10" s="6">
        <f>Assumptions!B48</f>
        <v/>
      </c>
      <c r="C10" s="15">
        <f>'Project Cost &amp; Finance'!C10</f>
        <v/>
      </c>
      <c r="D10" s="15">
        <f>IF(Assumptions!E48="building", C10, IF(Assumptions!E48="shared", C10*Assumptions!F48, 0))</f>
        <v/>
      </c>
      <c r="E10" s="15">
        <f>IF(Assumptions!E48="equipment", C10, IF(Assumptions!E48="shared", C10*(1-Assumptions!F48), 0))</f>
        <v/>
      </c>
      <c r="F10" s="15">
        <f>IF(Assumptions!E48="land", C10, 0)</f>
        <v/>
      </c>
    </row>
    <row r="11">
      <c r="B11" s="6" t="inlineStr">
        <is>
          <t>Interest During Construction (IDC)</t>
        </is>
      </c>
      <c r="C11" s="15">
        <f>'Project Cost &amp; Finance'!C12</f>
        <v/>
      </c>
      <c r="D11" s="15">
        <f>C11/2</f>
        <v/>
      </c>
      <c r="E11" s="15">
        <f>C11/2</f>
        <v/>
      </c>
      <c r="F11" s="15" t="n">
        <v>0</v>
      </c>
    </row>
    <row r="12">
      <c r="B12" s="20" t="inlineStr">
        <is>
          <t>Total Capitalised Fixed Asset Base</t>
        </is>
      </c>
      <c r="C12" s="21">
        <f>SUM(C6:C11)</f>
        <v/>
      </c>
      <c r="D12" s="21">
        <f>SUM(D6:D11)</f>
        <v/>
      </c>
      <c r="E12" s="21">
        <f>SUM(E6:E11)</f>
        <v/>
      </c>
      <c r="F12" s="21">
        <f>SUM(F6:F11)</f>
        <v/>
      </c>
    </row>
    <row r="13"/>
    <row r="14">
      <c r="B14" s="3" t="inlineStr">
        <is>
          <t>2. ANNUAL DEPRECIATION COMPUTATION (SLM)</t>
        </is>
      </c>
      <c r="C14" s="4" t="n"/>
      <c r="D14" s="4" t="n"/>
      <c r="E14" s="4" t="n"/>
    </row>
    <row r="15">
      <c r="B15" s="17" t="inlineStr">
        <is>
          <t>Asset Class</t>
        </is>
      </c>
      <c r="C15" s="28" t="inlineStr">
        <is>
          <t>Asset Base (₹ in Crore)</t>
        </is>
      </c>
      <c r="D15" s="12" t="inlineStr">
        <is>
          <t>Useful Life (Yrs)</t>
        </is>
      </c>
      <c r="E15" s="28" t="inlineStr">
        <is>
          <t>Annual Depreciation (₹ in Crore)</t>
        </is>
      </c>
    </row>
    <row r="16">
      <c r="B16" s="6" t="inlineStr">
        <is>
          <t>Hotel Building &amp; Civil Infrastructure</t>
        </is>
      </c>
      <c r="C16" s="15">
        <f>D12</f>
        <v/>
      </c>
      <c r="D16" s="29">
        <f>Assumptions!$C$31</f>
        <v/>
      </c>
      <c r="E16" s="15">
        <f>C16/D16</f>
        <v/>
      </c>
    </row>
    <row r="17">
      <c r="B17" s="6" t="inlineStr">
        <is>
          <t>Plant, Machinery &amp; Kitchen Equipment</t>
        </is>
      </c>
      <c r="C17" s="15">
        <f>E12</f>
        <v/>
      </c>
      <c r="D17" s="29">
        <f>Assumptions!$C$32</f>
        <v/>
      </c>
      <c r="E17" s="15">
        <f>C17/D17</f>
        <v/>
      </c>
    </row>
    <row r="18">
      <c r="B18" s="17" t="inlineStr">
        <is>
          <t>Total Annual Depreciation Charge</t>
        </is>
      </c>
      <c r="C18" s="18">
        <f>C16+C17</f>
        <v/>
      </c>
      <c r="D18" s="12" t="inlineStr">
        <is>
          <t>-</t>
        </is>
      </c>
      <c r="E18" s="21">
        <f>E16+E17</f>
        <v/>
      </c>
    </row>
    <row r="19"/>
    <row r="20">
      <c r="B20" s="3" t="inlineStr">
        <is>
          <t>3. 10-YEAR FIXED ASSET &amp; DEPRECIATION SCHEDULE (₹ in Crore)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B21" s="17" t="inlineStr">
        <is>
          <t>Particulars</t>
        </is>
      </c>
      <c r="C21" s="12" t="inlineStr">
        <is>
          <t>Y1 (FY2026)</t>
        </is>
      </c>
      <c r="D21" s="12" t="inlineStr">
        <is>
          <t>Y2 (FY2027)</t>
        </is>
      </c>
      <c r="E21" s="12" t="inlineStr">
        <is>
          <t>Y3 (FY2028)</t>
        </is>
      </c>
      <c r="F21" s="12" t="inlineStr">
        <is>
          <t>Y4 (FY2029)</t>
        </is>
      </c>
      <c r="G21" s="12" t="inlineStr">
        <is>
          <t>Y5 (FY2030)</t>
        </is>
      </c>
      <c r="H21" s="12" t="inlineStr">
        <is>
          <t>Y6 (FY2031)</t>
        </is>
      </c>
      <c r="I21" s="12" t="inlineStr">
        <is>
          <t>Y7 (FY2032)</t>
        </is>
      </c>
      <c r="J21" s="12" t="inlineStr">
        <is>
          <t>Y8 (FY2033)</t>
        </is>
      </c>
      <c r="K21" s="12" t="inlineStr">
        <is>
          <t>Y9 (FY2034)</t>
        </is>
      </c>
      <c r="L21" s="12" t="inlineStr">
        <is>
          <t>Y10 (FY2035)</t>
        </is>
      </c>
    </row>
    <row r="22">
      <c r="B22" s="24" t="inlineStr">
        <is>
          <t>Gross Block (Original Cost)</t>
        </is>
      </c>
      <c r="C22" s="26">
        <f>$C$12</f>
        <v/>
      </c>
      <c r="D22" s="26">
        <f>$C$12</f>
        <v/>
      </c>
      <c r="E22" s="26">
        <f>$C$12</f>
        <v/>
      </c>
      <c r="F22" s="26">
        <f>$C$12</f>
        <v/>
      </c>
      <c r="G22" s="26">
        <f>$C$12</f>
        <v/>
      </c>
      <c r="H22" s="26">
        <f>$C$12</f>
        <v/>
      </c>
      <c r="I22" s="26">
        <f>$C$12</f>
        <v/>
      </c>
      <c r="J22" s="26">
        <f>$C$12</f>
        <v/>
      </c>
      <c r="K22" s="26">
        <f>$C$12</f>
        <v/>
      </c>
      <c r="L22" s="26">
        <f>$C$12</f>
        <v/>
      </c>
    </row>
    <row r="23">
      <c r="B23" s="6" t="inlineStr">
        <is>
          <t>Opening Accumulated Depreciation</t>
        </is>
      </c>
      <c r="C23" s="15" t="n">
        <v>0</v>
      </c>
      <c r="D23" s="15">
        <f>C25</f>
        <v/>
      </c>
      <c r="E23" s="15">
        <f>D25</f>
        <v/>
      </c>
      <c r="F23" s="15">
        <f>E25</f>
        <v/>
      </c>
      <c r="G23" s="15">
        <f>F25</f>
        <v/>
      </c>
      <c r="H23" s="15">
        <f>G25</f>
        <v/>
      </c>
      <c r="I23" s="15">
        <f>H25</f>
        <v/>
      </c>
      <c r="J23" s="15">
        <f>I25</f>
        <v/>
      </c>
      <c r="K23" s="15">
        <f>J25</f>
        <v/>
      </c>
      <c r="L23" s="15">
        <f>K25</f>
        <v/>
      </c>
    </row>
    <row r="24">
      <c r="B24" s="6" t="inlineStr">
        <is>
          <t>Depreciation Charge for the Year</t>
        </is>
      </c>
      <c r="C24" s="15">
        <f>$E$18</f>
        <v/>
      </c>
      <c r="D24" s="15">
        <f>$E$18</f>
        <v/>
      </c>
      <c r="E24" s="15">
        <f>$E$18</f>
        <v/>
      </c>
      <c r="F24" s="15">
        <f>$E$18</f>
        <v/>
      </c>
      <c r="G24" s="15">
        <f>$E$18</f>
        <v/>
      </c>
      <c r="H24" s="15">
        <f>$E$18</f>
        <v/>
      </c>
      <c r="I24" s="15">
        <f>$E$18</f>
        <v/>
      </c>
      <c r="J24" s="15">
        <f>$E$18</f>
        <v/>
      </c>
      <c r="K24" s="15">
        <f>$E$18</f>
        <v/>
      </c>
      <c r="L24" s="15">
        <f>$E$18</f>
        <v/>
      </c>
    </row>
    <row r="25">
      <c r="B25" s="24" t="inlineStr">
        <is>
          <t>Closing Accumulated Depreciation</t>
        </is>
      </c>
      <c r="C25" s="30">
        <f>C23+C24</f>
        <v/>
      </c>
      <c r="D25" s="30">
        <f>D23+D24</f>
        <v/>
      </c>
      <c r="E25" s="30">
        <f>E23+E24</f>
        <v/>
      </c>
      <c r="F25" s="30">
        <f>F23+F24</f>
        <v/>
      </c>
      <c r="G25" s="30">
        <f>G23+G24</f>
        <v/>
      </c>
      <c r="H25" s="30">
        <f>H23+H24</f>
        <v/>
      </c>
      <c r="I25" s="30">
        <f>I23+I24</f>
        <v/>
      </c>
      <c r="J25" s="30">
        <f>J23+J24</f>
        <v/>
      </c>
      <c r="K25" s="30">
        <f>K23+K24</f>
        <v/>
      </c>
      <c r="L25" s="30">
        <f>L23+L24</f>
        <v/>
      </c>
    </row>
    <row r="26">
      <c r="B26" s="20" t="inlineStr">
        <is>
          <t>Net Block (Closing Written Down Value)</t>
        </is>
      </c>
      <c r="C26" s="21">
        <f>C22-C25</f>
        <v/>
      </c>
      <c r="D26" s="21">
        <f>D22-D25</f>
        <v/>
      </c>
      <c r="E26" s="21">
        <f>E22-E25</f>
        <v/>
      </c>
      <c r="F26" s="21">
        <f>F22-F25</f>
        <v/>
      </c>
      <c r="G26" s="21">
        <f>G22-G25</f>
        <v/>
      </c>
      <c r="H26" s="21">
        <f>H22-H25</f>
        <v/>
      </c>
      <c r="I26" s="21">
        <f>I22-I25</f>
        <v/>
      </c>
      <c r="J26" s="21">
        <f>J22-J25</f>
        <v/>
      </c>
      <c r="K26" s="21">
        <f>K22-K25</f>
        <v/>
      </c>
      <c r="L26" s="21">
        <f>L22-L25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Depreciation</oddHeader>
    <oddFooter>&amp;LConfidential - Bank Credit Appraisal Dossier&amp;RPage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B1" s="7" t="inlineStr">
        <is>
          <t>TERM LOAN REPAYMENT SCHEDULE &amp; INTEREST BURDEN (₹ in Crore)</t>
        </is>
      </c>
    </row>
    <row r="2">
      <c r="B2" s="8" t="inlineStr">
        <is>
          <t>Amortization schedule linked to sanction terms and stepped repayment profile.</t>
        </is>
      </c>
    </row>
    <row r="3"/>
    <row r="4">
      <c r="B4" s="3" t="inlineStr">
        <is>
          <t>TERM LOAN REPAYMENT &amp; DEBT SERVICE OBLIGATION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17" t="inlineStr">
        <is>
          <t>Particulars</t>
        </is>
      </c>
      <c r="C5" s="12" t="inlineStr">
        <is>
          <t>Y1 (FY2026)</t>
        </is>
      </c>
      <c r="D5" s="12" t="inlineStr">
        <is>
          <t>Y2 (FY2027)</t>
        </is>
      </c>
      <c r="E5" s="12" t="inlineStr">
        <is>
          <t>Y3 (FY2028)</t>
        </is>
      </c>
      <c r="F5" s="12" t="inlineStr">
        <is>
          <t>Y4 (FY2029)</t>
        </is>
      </c>
      <c r="G5" s="12" t="inlineStr">
        <is>
          <t>Y5 (FY2030)</t>
        </is>
      </c>
      <c r="H5" s="12" t="inlineStr">
        <is>
          <t>Y6 (FY2031)</t>
        </is>
      </c>
      <c r="I5" s="12" t="inlineStr">
        <is>
          <t>Y7 (FY2032)</t>
        </is>
      </c>
      <c r="J5" s="12" t="inlineStr">
        <is>
          <t>Y8 (FY2033)</t>
        </is>
      </c>
      <c r="K5" s="12" t="inlineStr">
        <is>
          <t>Y9 (FY2034)</t>
        </is>
      </c>
      <c r="L5" s="12" t="inlineStr">
        <is>
          <t>Y10 (FY2035)</t>
        </is>
      </c>
      <c r="M5" s="12" t="inlineStr">
        <is>
          <t>Total</t>
        </is>
      </c>
    </row>
    <row r="6">
      <c r="B6" s="24" t="inlineStr">
        <is>
          <t>Total Term Loan Sanctioned (Bank Finance)</t>
        </is>
      </c>
      <c r="C6" s="26">
        <f>'Project Cost &amp; Finance'!$F$13</f>
        <v/>
      </c>
    </row>
    <row r="7">
      <c r="B7" s="6" t="inlineStr">
        <is>
          <t>Annual Principal Repayment Percentage</t>
        </is>
      </c>
      <c r="C7" s="16">
        <f>Assumptions!C$40</f>
        <v/>
      </c>
      <c r="D7" s="16">
        <f>Assumptions!D$40</f>
        <v/>
      </c>
      <c r="E7" s="16">
        <f>Assumptions!E$40</f>
        <v/>
      </c>
      <c r="F7" s="16">
        <f>Assumptions!F$40</f>
        <v/>
      </c>
      <c r="G7" s="16">
        <f>Assumptions!G$40</f>
        <v/>
      </c>
      <c r="H7" s="16">
        <f>Assumptions!H$40</f>
        <v/>
      </c>
      <c r="I7" s="16">
        <f>Assumptions!I$40</f>
        <v/>
      </c>
      <c r="J7" s="16">
        <f>Assumptions!J$40</f>
        <v/>
      </c>
      <c r="K7" s="16">
        <f>Assumptions!K$40</f>
        <v/>
      </c>
      <c r="L7" s="16">
        <f>Assumptions!L$40</f>
        <v/>
      </c>
      <c r="M7" s="31">
        <f>SUM(C7:L7)</f>
        <v/>
      </c>
    </row>
    <row r="8">
      <c r="B8" s="6" t="inlineStr">
        <is>
          <t>Opening Debt Balance</t>
        </is>
      </c>
      <c r="C8" s="15">
        <f>C6</f>
        <v/>
      </c>
      <c r="D8" s="15">
        <f>C10</f>
        <v/>
      </c>
      <c r="E8" s="15">
        <f>D10</f>
        <v/>
      </c>
      <c r="F8" s="15">
        <f>E10</f>
        <v/>
      </c>
      <c r="G8" s="15">
        <f>F10</f>
        <v/>
      </c>
      <c r="H8" s="15">
        <f>G10</f>
        <v/>
      </c>
      <c r="I8" s="15">
        <f>H10</f>
        <v/>
      </c>
      <c r="J8" s="15">
        <f>I10</f>
        <v/>
      </c>
      <c r="K8" s="15">
        <f>J10</f>
        <v/>
      </c>
      <c r="L8" s="15">
        <f>K10</f>
        <v/>
      </c>
      <c r="M8" s="27" t="inlineStr">
        <is>
          <t>-</t>
        </is>
      </c>
    </row>
    <row r="9">
      <c r="B9" s="24" t="inlineStr">
        <is>
          <t>[-] Principal Repayment during Year</t>
        </is>
      </c>
      <c r="C9" s="26">
        <f>$C$6*C7</f>
        <v/>
      </c>
      <c r="D9" s="26">
        <f>$C$6*D7</f>
        <v/>
      </c>
      <c r="E9" s="26">
        <f>$C$6*E7</f>
        <v/>
      </c>
      <c r="F9" s="26">
        <f>$C$6*F7</f>
        <v/>
      </c>
      <c r="G9" s="26">
        <f>$C$6*G7</f>
        <v/>
      </c>
      <c r="H9" s="26">
        <f>$C$6*H7</f>
        <v/>
      </c>
      <c r="I9" s="26">
        <f>$C$6*I7</f>
        <v/>
      </c>
      <c r="J9" s="26">
        <f>$C$6*J7</f>
        <v/>
      </c>
      <c r="K9" s="26">
        <f>$C$6*K7</f>
        <v/>
      </c>
      <c r="L9" s="26">
        <f>$C$6*L7</f>
        <v/>
      </c>
      <c r="M9" s="26">
        <f>SUM(C9:L9)</f>
        <v/>
      </c>
    </row>
    <row r="10">
      <c r="B10" s="24" t="inlineStr">
        <is>
          <t>Closing Debt Balance</t>
        </is>
      </c>
      <c r="C10" s="26">
        <f>C8-C9</f>
        <v/>
      </c>
      <c r="D10" s="26">
        <f>D8-D9</f>
        <v/>
      </c>
      <c r="E10" s="26">
        <f>E8-E9</f>
        <v/>
      </c>
      <c r="F10" s="26">
        <f>F8-F9</f>
        <v/>
      </c>
      <c r="G10" s="26">
        <f>G8-G9</f>
        <v/>
      </c>
      <c r="H10" s="26">
        <f>H8-H9</f>
        <v/>
      </c>
      <c r="I10" s="26">
        <f>I8-I9</f>
        <v/>
      </c>
      <c r="J10" s="26">
        <f>J8-J9</f>
        <v/>
      </c>
      <c r="K10" s="26">
        <f>K8-K9</f>
        <v/>
      </c>
      <c r="L10" s="26">
        <f>L8-L9</f>
        <v/>
      </c>
      <c r="M10" s="26">
        <f>L10</f>
        <v/>
      </c>
    </row>
    <row r="11">
      <c r="B11" s="6" t="inlineStr">
        <is>
          <t>Average Debt Balance</t>
        </is>
      </c>
      <c r="C11" s="15">
        <f>(C8+C10)/2</f>
        <v/>
      </c>
      <c r="D11" s="15">
        <f>(D8+D10)/2</f>
        <v/>
      </c>
      <c r="E11" s="15">
        <f>(E8+E10)/2</f>
        <v/>
      </c>
      <c r="F11" s="15">
        <f>(F8+F10)/2</f>
        <v/>
      </c>
      <c r="G11" s="15">
        <f>(G8+G10)/2</f>
        <v/>
      </c>
      <c r="H11" s="15">
        <f>(H8+H10)/2</f>
        <v/>
      </c>
      <c r="I11" s="15">
        <f>(I8+I10)/2</f>
        <v/>
      </c>
      <c r="J11" s="15">
        <f>(J8+J10)/2</f>
        <v/>
      </c>
      <c r="K11" s="15">
        <f>(K8+K10)/2</f>
        <v/>
      </c>
      <c r="L11" s="15">
        <f>(L8+L10)/2</f>
        <v/>
      </c>
      <c r="M11" s="27" t="inlineStr">
        <is>
          <t>-</t>
        </is>
      </c>
    </row>
    <row r="12">
      <c r="B12" s="17" t="inlineStr">
        <is>
          <t>Interest on Term Loan (Finance Cost)</t>
        </is>
      </c>
      <c r="C12" s="18">
        <f>C8*Assumptions!$C$34</f>
        <v/>
      </c>
      <c r="D12" s="18">
        <f>D8*Assumptions!$C$34</f>
        <v/>
      </c>
      <c r="E12" s="18">
        <f>E8*Assumptions!$C$34</f>
        <v/>
      </c>
      <c r="F12" s="18">
        <f>F8*Assumptions!$C$34</f>
        <v/>
      </c>
      <c r="G12" s="18">
        <f>G8*Assumptions!$C$34</f>
        <v/>
      </c>
      <c r="H12" s="18">
        <f>H8*Assumptions!$C$34</f>
        <v/>
      </c>
      <c r="I12" s="18">
        <f>I8*Assumptions!$C$34</f>
        <v/>
      </c>
      <c r="J12" s="18">
        <f>J8*Assumptions!$C$34</f>
        <v/>
      </c>
      <c r="K12" s="18">
        <f>K8*Assumptions!$C$34</f>
        <v/>
      </c>
      <c r="L12" s="18">
        <f>L8*Assumptions!$C$34</f>
        <v/>
      </c>
      <c r="M12" s="18">
        <f>SUM(C12:L12)</f>
        <v/>
      </c>
    </row>
    <row r="13">
      <c r="B13" s="20" t="inlineStr">
        <is>
          <t>Total Debt Service Obligation (Principal + Interest)</t>
        </is>
      </c>
      <c r="C13" s="21">
        <f>C9+C12</f>
        <v/>
      </c>
      <c r="D13" s="21">
        <f>D9+D12</f>
        <v/>
      </c>
      <c r="E13" s="21">
        <f>E9+E12</f>
        <v/>
      </c>
      <c r="F13" s="21">
        <f>F9+F12</f>
        <v/>
      </c>
      <c r="G13" s="21">
        <f>G9+G12</f>
        <v/>
      </c>
      <c r="H13" s="21">
        <f>H9+H12</f>
        <v/>
      </c>
      <c r="I13" s="21">
        <f>I9+I12</f>
        <v/>
      </c>
      <c r="J13" s="21">
        <f>J9+J12</f>
        <v/>
      </c>
      <c r="K13" s="21">
        <f>K9+K12</f>
        <v/>
      </c>
      <c r="L13" s="21">
        <f>L9+L12</f>
        <v/>
      </c>
      <c r="M13" s="21">
        <f>SUM(C13:L13)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Loan Repayment Schedule</oddHeader>
    <oddFooter>&amp;LConfidential - Bank Credit Appraisal Dossier&amp;RPage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B1" s="7" t="inlineStr">
        <is>
          <t>PROJECTED PROFIT &amp; LOSS STATEMENT (₹ in Crore)</t>
        </is>
      </c>
    </row>
    <row r="2">
      <c r="B2" s="8" t="inlineStr">
        <is>
          <t>10-Year operating income statement. Live formulas linked to Assumptions, Depreciation &amp; Debt sheets.</t>
        </is>
      </c>
    </row>
    <row r="3"/>
    <row r="4">
      <c r="B4" s="3" t="inlineStr">
        <is>
          <t>PROJECT OPERATING PERFORMANCE &amp; EARNINGS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B5" s="17" t="inlineStr">
        <is>
          <t>Particulars</t>
        </is>
      </c>
      <c r="C5" s="12" t="inlineStr">
        <is>
          <t>Y1 (FY2026)</t>
        </is>
      </c>
      <c r="D5" s="12" t="inlineStr">
        <is>
          <t>Y2 (FY2027)</t>
        </is>
      </c>
      <c r="E5" s="12" t="inlineStr">
        <is>
          <t>Y3 (FY2028)</t>
        </is>
      </c>
      <c r="F5" s="12" t="inlineStr">
        <is>
          <t>Y4 (FY2029)</t>
        </is>
      </c>
      <c r="G5" s="12" t="inlineStr">
        <is>
          <t>Y5 (FY2030)</t>
        </is>
      </c>
      <c r="H5" s="12" t="inlineStr">
        <is>
          <t>Y6 (FY2031)</t>
        </is>
      </c>
      <c r="I5" s="12" t="inlineStr">
        <is>
          <t>Y7 (FY2032)</t>
        </is>
      </c>
      <c r="J5" s="12" t="inlineStr">
        <is>
          <t>Y8 (FY2033)</t>
        </is>
      </c>
      <c r="K5" s="12" t="inlineStr">
        <is>
          <t>Y9 (FY2034)</t>
        </is>
      </c>
      <c r="L5" s="12" t="inlineStr">
        <is>
          <t>Y10 (FY2035)</t>
        </is>
      </c>
    </row>
    <row r="6">
      <c r="B6" s="6" t="inlineStr">
        <is>
          <t>Occupancy Rate Assumed (%)</t>
        </is>
      </c>
      <c r="C6" s="16">
        <f>Assumptions!$C$14</f>
        <v/>
      </c>
      <c r="D6" s="16">
        <f>MIN(Assumptions!$C$16, C6+Assumptions!$C$15)</f>
        <v/>
      </c>
      <c r="E6" s="16">
        <f>MIN(Assumptions!$C$16, D6+Assumptions!$C$15)</f>
        <v/>
      </c>
      <c r="F6" s="16">
        <f>MIN(Assumptions!$C$16, E6+Assumptions!$C$15)</f>
        <v/>
      </c>
      <c r="G6" s="16">
        <f>MIN(Assumptions!$C$16, F6+Assumptions!$C$15)</f>
        <v/>
      </c>
      <c r="H6" s="16">
        <f>MIN(Assumptions!$C$16, G6+Assumptions!$C$15)</f>
        <v/>
      </c>
      <c r="I6" s="16">
        <f>MIN(Assumptions!$C$16, H6+Assumptions!$C$15)</f>
        <v/>
      </c>
      <c r="J6" s="16">
        <f>MIN(Assumptions!$C$16, I6+Assumptions!$C$15)</f>
        <v/>
      </c>
      <c r="K6" s="16">
        <f>MIN(Assumptions!$C$16, J6+Assumptions!$C$15)</f>
        <v/>
      </c>
      <c r="L6" s="16">
        <f>MIN(Assumptions!$C$16, K6+Assumptions!$C$15)</f>
        <v/>
      </c>
    </row>
    <row r="7">
      <c r="B7" s="6" t="inlineStr">
        <is>
          <t>Average Room Tariff per Day (₹)</t>
        </is>
      </c>
      <c r="C7" s="15">
        <f>Assumptions!$C$12</f>
        <v/>
      </c>
      <c r="D7" s="15">
        <f>C7*(1+Assumptions!$C$13)</f>
        <v/>
      </c>
      <c r="E7" s="15">
        <f>D7*(1+Assumptions!$C$13)</f>
        <v/>
      </c>
      <c r="F7" s="15">
        <f>E7*(1+Assumptions!$C$13)</f>
        <v/>
      </c>
      <c r="G7" s="15">
        <f>F7*(1+Assumptions!$C$13)</f>
        <v/>
      </c>
      <c r="H7" s="15">
        <f>G7*(1+Assumptions!$C$13)</f>
        <v/>
      </c>
      <c r="I7" s="15">
        <f>H7*(1+Assumptions!$C$13)</f>
        <v/>
      </c>
      <c r="J7" s="15">
        <f>I7*(1+Assumptions!$C$13)</f>
        <v/>
      </c>
      <c r="K7" s="15">
        <f>J7*(1+Assumptions!$C$13)</f>
        <v/>
      </c>
      <c r="L7" s="15">
        <f>K7*(1+Assumptions!$C$13)</f>
        <v/>
      </c>
    </row>
    <row r="8">
      <c r="B8" s="32" t="inlineStr">
        <is>
          <t>A. Operating Revenues (₹ in Crore)</t>
        </is>
      </c>
    </row>
    <row r="9">
      <c r="B9" s="6" t="inlineStr">
        <is>
          <t>Room Revenues</t>
        </is>
      </c>
      <c r="C9" s="15">
        <f>(Assumptions!$C$8*Assumptions!$C$9*C6*C7)/10000000</f>
        <v/>
      </c>
      <c r="D9" s="15">
        <f>(Assumptions!$C$8*Assumptions!$C$9*D6*D7)/10000000</f>
        <v/>
      </c>
      <c r="E9" s="15">
        <f>(Assumptions!$C$8*Assumptions!$C$9*E6*E7)/10000000</f>
        <v/>
      </c>
      <c r="F9" s="15">
        <f>(Assumptions!$C$8*Assumptions!$C$9*F6*F7)/10000000</f>
        <v/>
      </c>
      <c r="G9" s="15">
        <f>(Assumptions!$C$8*Assumptions!$C$9*G6*G7)/10000000</f>
        <v/>
      </c>
      <c r="H9" s="15">
        <f>(Assumptions!$C$8*Assumptions!$C$9*H6*H7)/10000000</f>
        <v/>
      </c>
      <c r="I9" s="15">
        <f>(Assumptions!$C$8*Assumptions!$C$9*I6*I7)/10000000</f>
        <v/>
      </c>
      <c r="J9" s="15">
        <f>(Assumptions!$C$8*Assumptions!$C$9*J6*J7)/10000000</f>
        <v/>
      </c>
      <c r="K9" s="15">
        <f>(Assumptions!$C$8*Assumptions!$C$9*K6*K7)/10000000</f>
        <v/>
      </c>
      <c r="L9" s="15">
        <f>(Assumptions!$C$8*Assumptions!$C$9*L6*L7)/10000000</f>
        <v/>
      </c>
    </row>
    <row r="10">
      <c r="B10" s="6" t="inlineStr">
        <is>
          <t>Food &amp; Beverages (F&amp;B) Revenues</t>
        </is>
      </c>
      <c r="C10" s="15">
        <f>C9*(Assumptions!$C$18/Assumptions!$C$17)</f>
        <v/>
      </c>
      <c r="D10" s="15">
        <f>D9*(Assumptions!$C$18/Assumptions!$C$17)</f>
        <v/>
      </c>
      <c r="E10" s="15">
        <f>E9*(Assumptions!$C$18/Assumptions!$C$17)</f>
        <v/>
      </c>
      <c r="F10" s="15">
        <f>F9*(Assumptions!$C$18/Assumptions!$C$17)</f>
        <v/>
      </c>
      <c r="G10" s="15">
        <f>G9*(Assumptions!$C$18/Assumptions!$C$17)</f>
        <v/>
      </c>
      <c r="H10" s="15">
        <f>H9*(Assumptions!$C$18/Assumptions!$C$17)</f>
        <v/>
      </c>
      <c r="I10" s="15">
        <f>I9*(Assumptions!$C$18/Assumptions!$C$17)</f>
        <v/>
      </c>
      <c r="J10" s="15">
        <f>J9*(Assumptions!$C$18/Assumptions!$C$17)</f>
        <v/>
      </c>
      <c r="K10" s="15">
        <f>K9*(Assumptions!$C$18/Assumptions!$C$17)</f>
        <v/>
      </c>
      <c r="L10" s="15">
        <f>L9*(Assumptions!$C$18/Assumptions!$C$17)</f>
        <v/>
      </c>
    </row>
    <row r="11">
      <c r="B11" s="6" t="inlineStr">
        <is>
          <t>Other Operating Income (Banquets, Spa, etc.)</t>
        </is>
      </c>
      <c r="C11" s="15">
        <f>C9*(Assumptions!$C$19/Assumptions!$C$17)</f>
        <v/>
      </c>
      <c r="D11" s="15">
        <f>D9*(Assumptions!$C$19/Assumptions!$C$17)</f>
        <v/>
      </c>
      <c r="E11" s="15">
        <f>E9*(Assumptions!$C$19/Assumptions!$C$17)</f>
        <v/>
      </c>
      <c r="F11" s="15">
        <f>F9*(Assumptions!$C$19/Assumptions!$C$17)</f>
        <v/>
      </c>
      <c r="G11" s="15">
        <f>G9*(Assumptions!$C$19/Assumptions!$C$17)</f>
        <v/>
      </c>
      <c r="H11" s="15">
        <f>H9*(Assumptions!$C$19/Assumptions!$C$17)</f>
        <v/>
      </c>
      <c r="I11" s="15">
        <f>I9*(Assumptions!$C$19/Assumptions!$C$17)</f>
        <v/>
      </c>
      <c r="J11" s="15">
        <f>J9*(Assumptions!$C$19/Assumptions!$C$17)</f>
        <v/>
      </c>
      <c r="K11" s="15">
        <f>K9*(Assumptions!$C$19/Assumptions!$C$17)</f>
        <v/>
      </c>
      <c r="L11" s="15">
        <f>L9*(Assumptions!$C$19/Assumptions!$C$17)</f>
        <v/>
      </c>
    </row>
    <row r="12">
      <c r="B12" s="17" t="inlineStr">
        <is>
          <t>Total Operating Revenue [A]</t>
        </is>
      </c>
      <c r="C12" s="18">
        <f>SUM(C9:C11)</f>
        <v/>
      </c>
      <c r="D12" s="18">
        <f>SUM(D9:D11)</f>
        <v/>
      </c>
      <c r="E12" s="18">
        <f>SUM(E9:E11)</f>
        <v/>
      </c>
      <c r="F12" s="18">
        <f>SUM(F9:F11)</f>
        <v/>
      </c>
      <c r="G12" s="18">
        <f>SUM(G9:G11)</f>
        <v/>
      </c>
      <c r="H12" s="18">
        <f>SUM(H9:H11)</f>
        <v/>
      </c>
      <c r="I12" s="18">
        <f>SUM(I9:I11)</f>
        <v/>
      </c>
      <c r="J12" s="18">
        <f>SUM(J9:J11)</f>
        <v/>
      </c>
      <c r="K12" s="18">
        <f>SUM(K9:K11)</f>
        <v/>
      </c>
      <c r="L12" s="18">
        <f>SUM(L9:L11)</f>
        <v/>
      </c>
    </row>
    <row r="13">
      <c r="B13" s="32" t="inlineStr">
        <is>
          <t>B. Variable Operating Expenses (₹ in Crore)</t>
        </is>
      </c>
    </row>
    <row r="14">
      <c r="B14" s="6" t="inlineStr">
        <is>
          <t>F&amp;B Consumables &amp; Raw Materials</t>
        </is>
      </c>
      <c r="C14" s="15">
        <f>C12*Assumptions!$C$22</f>
        <v/>
      </c>
      <c r="D14" s="15">
        <f>D12*Assumptions!$C$22</f>
        <v/>
      </c>
      <c r="E14" s="15">
        <f>E12*Assumptions!$C$22</f>
        <v/>
      </c>
      <c r="F14" s="15">
        <f>F12*Assumptions!$C$22</f>
        <v/>
      </c>
      <c r="G14" s="15">
        <f>G12*Assumptions!$C$22</f>
        <v/>
      </c>
      <c r="H14" s="15">
        <f>H12*Assumptions!$C$22</f>
        <v/>
      </c>
      <c r="I14" s="15">
        <f>I12*Assumptions!$C$22</f>
        <v/>
      </c>
      <c r="J14" s="15">
        <f>J12*Assumptions!$C$22</f>
        <v/>
      </c>
      <c r="K14" s="15">
        <f>K12*Assumptions!$C$22</f>
        <v/>
      </c>
      <c r="L14" s="15">
        <f>L12*Assumptions!$C$22</f>
        <v/>
      </c>
    </row>
    <row r="15">
      <c r="B15" s="6" t="inlineStr">
        <is>
          <t>Staff &amp; Employee Costs</t>
        </is>
      </c>
      <c r="C15" s="15">
        <f>C12*Assumptions!$C$23</f>
        <v/>
      </c>
      <c r="D15" s="15">
        <f>D12*Assumptions!$C$23</f>
        <v/>
      </c>
      <c r="E15" s="15">
        <f>E12*Assumptions!$C$23</f>
        <v/>
      </c>
      <c r="F15" s="15">
        <f>F12*Assumptions!$C$23</f>
        <v/>
      </c>
      <c r="G15" s="15">
        <f>G12*Assumptions!$C$23</f>
        <v/>
      </c>
      <c r="H15" s="15">
        <f>H12*Assumptions!$C$23</f>
        <v/>
      </c>
      <c r="I15" s="15">
        <f>I12*Assumptions!$C$23</f>
        <v/>
      </c>
      <c r="J15" s="15">
        <f>J12*Assumptions!$C$23</f>
        <v/>
      </c>
      <c r="K15" s="15">
        <f>K12*Assumptions!$C$23</f>
        <v/>
      </c>
      <c r="L15" s="15">
        <f>L12*Assumptions!$C$23</f>
        <v/>
      </c>
    </row>
    <row r="16">
      <c r="B16" s="6" t="inlineStr">
        <is>
          <t>Power, Fuel &amp; Utility Charges</t>
        </is>
      </c>
      <c r="C16" s="15">
        <f>C12*Assumptions!$C$24</f>
        <v/>
      </c>
      <c r="D16" s="15">
        <f>D12*Assumptions!$C$24</f>
        <v/>
      </c>
      <c r="E16" s="15">
        <f>E12*Assumptions!$C$24</f>
        <v/>
      </c>
      <c r="F16" s="15">
        <f>F12*Assumptions!$C$24</f>
        <v/>
      </c>
      <c r="G16" s="15">
        <f>G12*Assumptions!$C$24</f>
        <v/>
      </c>
      <c r="H16" s="15">
        <f>H12*Assumptions!$C$24</f>
        <v/>
      </c>
      <c r="I16" s="15">
        <f>I12*Assumptions!$C$24</f>
        <v/>
      </c>
      <c r="J16" s="15">
        <f>J12*Assumptions!$C$24</f>
        <v/>
      </c>
      <c r="K16" s="15">
        <f>K12*Assumptions!$C$24</f>
        <v/>
      </c>
      <c r="L16" s="15">
        <f>L12*Assumptions!$C$24</f>
        <v/>
      </c>
    </row>
    <row r="17">
      <c r="B17" s="6" t="inlineStr">
        <is>
          <t>Other Variable Operating Overheads</t>
        </is>
      </c>
      <c r="C17" s="15">
        <f>C12*Assumptions!$C$25</f>
        <v/>
      </c>
      <c r="D17" s="15">
        <f>D12*Assumptions!$C$25</f>
        <v/>
      </c>
      <c r="E17" s="15">
        <f>E12*Assumptions!$C$25</f>
        <v/>
      </c>
      <c r="F17" s="15">
        <f>F12*Assumptions!$C$25</f>
        <v/>
      </c>
      <c r="G17" s="15">
        <f>G12*Assumptions!$C$25</f>
        <v/>
      </c>
      <c r="H17" s="15">
        <f>H12*Assumptions!$C$25</f>
        <v/>
      </c>
      <c r="I17" s="15">
        <f>I12*Assumptions!$C$25</f>
        <v/>
      </c>
      <c r="J17" s="15">
        <f>J12*Assumptions!$C$25</f>
        <v/>
      </c>
      <c r="K17" s="15">
        <f>K12*Assumptions!$C$25</f>
        <v/>
      </c>
      <c r="L17" s="15">
        <f>L12*Assumptions!$C$25</f>
        <v/>
      </c>
    </row>
    <row r="18">
      <c r="B18" s="6" t="inlineStr">
        <is>
          <t>Marriott Management / Service Fees</t>
        </is>
      </c>
      <c r="C18" s="15">
        <f>C9*Assumptions!$C$26</f>
        <v/>
      </c>
      <c r="D18" s="15">
        <f>D9*Assumptions!$C$26</f>
        <v/>
      </c>
      <c r="E18" s="15">
        <f>E9*Assumptions!$C$26</f>
        <v/>
      </c>
      <c r="F18" s="15">
        <f>F9*Assumptions!$C$26</f>
        <v/>
      </c>
      <c r="G18" s="15">
        <f>G9*Assumptions!$C$26</f>
        <v/>
      </c>
      <c r="H18" s="15">
        <f>H9*Assumptions!$C$26</f>
        <v/>
      </c>
      <c r="I18" s="15">
        <f>I9*Assumptions!$C$26</f>
        <v/>
      </c>
      <c r="J18" s="15">
        <f>J9*Assumptions!$C$26</f>
        <v/>
      </c>
      <c r="K18" s="15">
        <f>K9*Assumptions!$C$26</f>
        <v/>
      </c>
      <c r="L18" s="15">
        <f>L9*Assumptions!$C$26</f>
        <v/>
      </c>
    </row>
    <row r="19">
      <c r="B19" s="17" t="inlineStr">
        <is>
          <t>Total Variable Operating Expenses [B]</t>
        </is>
      </c>
      <c r="C19" s="18">
        <f>SUM(C14:C18)</f>
        <v/>
      </c>
      <c r="D19" s="18">
        <f>SUM(D14:D18)</f>
        <v/>
      </c>
      <c r="E19" s="18">
        <f>SUM(E14:E18)</f>
        <v/>
      </c>
      <c r="F19" s="18">
        <f>SUM(F14:F18)</f>
        <v/>
      </c>
      <c r="G19" s="18">
        <f>SUM(G14:G18)</f>
        <v/>
      </c>
      <c r="H19" s="18">
        <f>SUM(H14:H18)</f>
        <v/>
      </c>
      <c r="I19" s="18">
        <f>SUM(I14:I18)</f>
        <v/>
      </c>
      <c r="J19" s="18">
        <f>SUM(J14:J18)</f>
        <v/>
      </c>
      <c r="K19" s="18">
        <f>SUM(K14:K18)</f>
        <v/>
      </c>
      <c r="L19" s="18">
        <f>SUM(L14:L18)</f>
        <v/>
      </c>
    </row>
    <row r="20">
      <c r="B20" s="32" t="inlineStr">
        <is>
          <t>C. Fixed Expenses (₹ in Crore)</t>
        </is>
      </c>
    </row>
    <row r="21">
      <c r="B21" s="6" t="inlineStr">
        <is>
          <t>Administrative &amp; Selling Overheads</t>
        </is>
      </c>
      <c r="C21" s="15">
        <f>C12*Assumptions!$C$27</f>
        <v/>
      </c>
      <c r="D21" s="15">
        <f>C21*(1+Assumptions!$C$28)</f>
        <v/>
      </c>
      <c r="E21" s="15">
        <f>D21*(1+Assumptions!$C$28)</f>
        <v/>
      </c>
      <c r="F21" s="15">
        <f>E21*(1+Assumptions!$C$28)</f>
        <v/>
      </c>
      <c r="G21" s="15">
        <f>F21*(1+Assumptions!$C$28)</f>
        <v/>
      </c>
      <c r="H21" s="15">
        <f>G21*(1+Assumptions!$C$28)</f>
        <v/>
      </c>
      <c r="I21" s="15">
        <f>H21*(1+Assumptions!$C$28)</f>
        <v/>
      </c>
      <c r="J21" s="15">
        <f>I21*(1+Assumptions!$C$28)</f>
        <v/>
      </c>
      <c r="K21" s="15">
        <f>J21*(1+Assumptions!$C$28)</f>
        <v/>
      </c>
      <c r="L21" s="15">
        <f>K21*(1+Assumptions!$C$28)</f>
        <v/>
      </c>
    </row>
    <row r="22">
      <c r="B22" s="6" t="inlineStr">
        <is>
          <t>Depreciation (Straight Line Method)</t>
        </is>
      </c>
      <c r="C22" s="15">
        <f>Depreciation!C$24</f>
        <v/>
      </c>
      <c r="D22" s="15">
        <f>Depreciation!D$24</f>
        <v/>
      </c>
      <c r="E22" s="15">
        <f>Depreciation!E$24</f>
        <v/>
      </c>
      <c r="F22" s="15">
        <f>Depreciation!F$24</f>
        <v/>
      </c>
      <c r="G22" s="15">
        <f>Depreciation!G$24</f>
        <v/>
      </c>
      <c r="H22" s="15">
        <f>Depreciation!H$24</f>
        <v/>
      </c>
      <c r="I22" s="15">
        <f>Depreciation!I$24</f>
        <v/>
      </c>
      <c r="J22" s="15">
        <f>Depreciation!J$24</f>
        <v/>
      </c>
      <c r="K22" s="15">
        <f>Depreciation!K$24</f>
        <v/>
      </c>
      <c r="L22" s="15">
        <f>Depreciation!L$24</f>
        <v/>
      </c>
    </row>
    <row r="23">
      <c r="B23" s="6" t="inlineStr">
        <is>
          <t>Interest on Term Loan (Finance Costs)</t>
        </is>
      </c>
      <c r="C23" s="15">
        <f>'Loan Repayment Schedule'!C$12</f>
        <v/>
      </c>
      <c r="D23" s="15">
        <f>'Loan Repayment Schedule'!D$12</f>
        <v/>
      </c>
      <c r="E23" s="15">
        <f>'Loan Repayment Schedule'!E$12</f>
        <v/>
      </c>
      <c r="F23" s="15">
        <f>'Loan Repayment Schedule'!F$12</f>
        <v/>
      </c>
      <c r="G23" s="15">
        <f>'Loan Repayment Schedule'!G$12</f>
        <v/>
      </c>
      <c r="H23" s="15">
        <f>'Loan Repayment Schedule'!H$12</f>
        <v/>
      </c>
      <c r="I23" s="15">
        <f>'Loan Repayment Schedule'!I$12</f>
        <v/>
      </c>
      <c r="J23" s="15">
        <f>'Loan Repayment Schedule'!J$12</f>
        <v/>
      </c>
      <c r="K23" s="15">
        <f>'Loan Repayment Schedule'!K$12</f>
        <v/>
      </c>
      <c r="L23" s="15">
        <f>'Loan Repayment Schedule'!L$12</f>
        <v/>
      </c>
    </row>
    <row r="24">
      <c r="B24" s="17" t="inlineStr">
        <is>
          <t>Total Fixed Expenses [C]</t>
        </is>
      </c>
      <c r="C24" s="18">
        <f>C21+C22+C23</f>
        <v/>
      </c>
      <c r="D24" s="18">
        <f>D21+D22+D23</f>
        <v/>
      </c>
      <c r="E24" s="18">
        <f>E21+E22+E23</f>
        <v/>
      </c>
      <c r="F24" s="18">
        <f>F21+F22+F23</f>
        <v/>
      </c>
      <c r="G24" s="18">
        <f>G21+G22+G23</f>
        <v/>
      </c>
      <c r="H24" s="18">
        <f>H21+H22+H23</f>
        <v/>
      </c>
      <c r="I24" s="18">
        <f>I21+I22+I23</f>
        <v/>
      </c>
      <c r="J24" s="18">
        <f>J21+J22+J23</f>
        <v/>
      </c>
      <c r="K24" s="18">
        <f>K21+K22+K23</f>
        <v/>
      </c>
      <c r="L24" s="18">
        <f>L21+L22+L23</f>
        <v/>
      </c>
    </row>
    <row r="25">
      <c r="B25" s="17" t="inlineStr">
        <is>
          <t>Total Operating Expenditure [D = B + C]</t>
        </is>
      </c>
      <c r="C25" s="18">
        <f>C19+C24</f>
        <v/>
      </c>
      <c r="D25" s="18">
        <f>D19+D24</f>
        <v/>
      </c>
      <c r="E25" s="18">
        <f>E19+E24</f>
        <v/>
      </c>
      <c r="F25" s="18">
        <f>F19+F24</f>
        <v/>
      </c>
      <c r="G25" s="18">
        <f>G19+G24</f>
        <v/>
      </c>
      <c r="H25" s="18">
        <f>H19+H24</f>
        <v/>
      </c>
      <c r="I25" s="18">
        <f>I19+I24</f>
        <v/>
      </c>
      <c r="J25" s="18">
        <f>J19+J24</f>
        <v/>
      </c>
      <c r="K25" s="18">
        <f>K19+K24</f>
        <v/>
      </c>
      <c r="L25" s="18">
        <f>L19+L24</f>
        <v/>
      </c>
    </row>
    <row r="26">
      <c r="B26" s="24" t="inlineStr">
        <is>
          <t>EBITDA (Earnings before Int, Tax &amp; Deprec)</t>
        </is>
      </c>
      <c r="C26" s="26">
        <f>C12-C19-C21</f>
        <v/>
      </c>
      <c r="D26" s="26">
        <f>D12-D19-D21</f>
        <v/>
      </c>
      <c r="E26" s="26">
        <f>E12-E19-E21</f>
        <v/>
      </c>
      <c r="F26" s="26">
        <f>F12-F19-F21</f>
        <v/>
      </c>
      <c r="G26" s="26">
        <f>G12-G19-G21</f>
        <v/>
      </c>
      <c r="H26" s="26">
        <f>H12-H19-H21</f>
        <v/>
      </c>
      <c r="I26" s="26">
        <f>I12-I19-I21</f>
        <v/>
      </c>
      <c r="J26" s="26">
        <f>J12-J19-J21</f>
        <v/>
      </c>
      <c r="K26" s="26">
        <f>K12-K19-K21</f>
        <v/>
      </c>
      <c r="L26" s="26">
        <f>L12-L19-L21</f>
        <v/>
      </c>
    </row>
    <row r="27">
      <c r="B27" s="24" t="inlineStr">
        <is>
          <t>Operating Profit (EBIT)</t>
        </is>
      </c>
      <c r="C27" s="26">
        <f>C26-C22</f>
        <v/>
      </c>
      <c r="D27" s="26">
        <f>D26-D22</f>
        <v/>
      </c>
      <c r="E27" s="26">
        <f>E26-E22</f>
        <v/>
      </c>
      <c r="F27" s="26">
        <f>F26-F22</f>
        <v/>
      </c>
      <c r="G27" s="26">
        <f>G26-G22</f>
        <v/>
      </c>
      <c r="H27" s="26">
        <f>H26-H22</f>
        <v/>
      </c>
      <c r="I27" s="26">
        <f>I26-I22</f>
        <v/>
      </c>
      <c r="J27" s="26">
        <f>J26-J22</f>
        <v/>
      </c>
      <c r="K27" s="26">
        <f>K26-K22</f>
        <v/>
      </c>
      <c r="L27" s="26">
        <f>L26-L22</f>
        <v/>
      </c>
    </row>
    <row r="28">
      <c r="B28" s="17" t="inlineStr">
        <is>
          <t>Net Profit Before Tax (PBT) [E = A - D]</t>
        </is>
      </c>
      <c r="C28" s="18">
        <f>C12-C25</f>
        <v/>
      </c>
      <c r="D28" s="18">
        <f>D12-D25</f>
        <v/>
      </c>
      <c r="E28" s="18">
        <f>E12-E25</f>
        <v/>
      </c>
      <c r="F28" s="18">
        <f>F12-F25</f>
        <v/>
      </c>
      <c r="G28" s="18">
        <f>G12-G25</f>
        <v/>
      </c>
      <c r="H28" s="18">
        <f>H12-H25</f>
        <v/>
      </c>
      <c r="I28" s="18">
        <f>I12-I25</f>
        <v/>
      </c>
      <c r="J28" s="18">
        <f>J12-J25</f>
        <v/>
      </c>
      <c r="K28" s="18">
        <f>K12-K25</f>
        <v/>
      </c>
      <c r="L28" s="18">
        <f>L12-L25</f>
        <v/>
      </c>
    </row>
    <row r="29">
      <c r="B29" s="6" t="inlineStr">
        <is>
          <t>[-] Provision for Corporate Income Tax</t>
        </is>
      </c>
      <c r="C29" s="15">
        <f>MAX(0, C28*Assumptions!$C$33)</f>
        <v/>
      </c>
      <c r="D29" s="15">
        <f>MAX(0, D28*Assumptions!$C$33)</f>
        <v/>
      </c>
      <c r="E29" s="15">
        <f>MAX(0, E28*Assumptions!$C$33)</f>
        <v/>
      </c>
      <c r="F29" s="15">
        <f>MAX(0, F28*Assumptions!$C$33)</f>
        <v/>
      </c>
      <c r="G29" s="15">
        <f>MAX(0, G28*Assumptions!$C$33)</f>
        <v/>
      </c>
      <c r="H29" s="15">
        <f>MAX(0, H28*Assumptions!$C$33)</f>
        <v/>
      </c>
      <c r="I29" s="15">
        <f>MAX(0, I28*Assumptions!$C$33)</f>
        <v/>
      </c>
      <c r="J29" s="15">
        <f>MAX(0, J28*Assumptions!$C$33)</f>
        <v/>
      </c>
      <c r="K29" s="15">
        <f>MAX(0, K28*Assumptions!$C$33)</f>
        <v/>
      </c>
      <c r="L29" s="15">
        <f>MAX(0, L28*Assumptions!$C$33)</f>
        <v/>
      </c>
    </row>
    <row r="30">
      <c r="B30" s="20" t="inlineStr">
        <is>
          <t>Net Profit After Tax (PAT) [F = E - Tax]</t>
        </is>
      </c>
      <c r="C30" s="21">
        <f>C28-C29</f>
        <v/>
      </c>
      <c r="D30" s="21">
        <f>D28-D29</f>
        <v/>
      </c>
      <c r="E30" s="21">
        <f>E28-E29</f>
        <v/>
      </c>
      <c r="F30" s="21">
        <f>F28-F29</f>
        <v/>
      </c>
      <c r="G30" s="21">
        <f>G28-G29</f>
        <v/>
      </c>
      <c r="H30" s="21">
        <f>H28-H29</f>
        <v/>
      </c>
      <c r="I30" s="21">
        <f>I28-I29</f>
        <v/>
      </c>
      <c r="J30" s="21">
        <f>J28-J29</f>
        <v/>
      </c>
      <c r="K30" s="21">
        <f>K28-K29</f>
        <v/>
      </c>
      <c r="L30" s="21">
        <f>L28-L29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Projected P&amp;L</oddHeader>
    <oddFooter>&amp;LConfidential - Bank Credit Appraisal Dossier&amp;RPage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B1" s="7" t="inlineStr">
        <is>
          <t>PROJECTED BALANCE SHEET (₹ in Crore)</t>
        </is>
      </c>
    </row>
    <row r="2">
      <c r="B2" s="8" t="inlineStr">
        <is>
          <t>Financial position at the end of each operating financial year. Fully reconciled and verified.</t>
        </is>
      </c>
    </row>
    <row r="3"/>
    <row r="4">
      <c r="B4" s="3" t="inlineStr">
        <is>
          <t>ASSETS &amp; LIABILITIES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B5" s="17" t="inlineStr">
        <is>
          <t>Particulars</t>
        </is>
      </c>
      <c r="C5" s="12" t="inlineStr">
        <is>
          <t>Y1 (FY2026)</t>
        </is>
      </c>
      <c r="D5" s="12" t="inlineStr">
        <is>
          <t>Y2 (FY2027)</t>
        </is>
      </c>
      <c r="E5" s="12" t="inlineStr">
        <is>
          <t>Y3 (FY2028)</t>
        </is>
      </c>
      <c r="F5" s="12" t="inlineStr">
        <is>
          <t>Y4 (FY2029)</t>
        </is>
      </c>
      <c r="G5" s="12" t="inlineStr">
        <is>
          <t>Y5 (FY2030)</t>
        </is>
      </c>
      <c r="H5" s="12" t="inlineStr">
        <is>
          <t>Y6 (FY2031)</t>
        </is>
      </c>
      <c r="I5" s="12" t="inlineStr">
        <is>
          <t>Y7 (FY2032)</t>
        </is>
      </c>
      <c r="J5" s="12" t="inlineStr">
        <is>
          <t>Y8 (FY2033)</t>
        </is>
      </c>
      <c r="K5" s="12" t="inlineStr">
        <is>
          <t>Y9 (FY2034)</t>
        </is>
      </c>
      <c r="L5" s="12" t="inlineStr">
        <is>
          <t>Y10 (FY2035)</t>
        </is>
      </c>
    </row>
    <row r="6">
      <c r="B6" s="32" t="inlineStr">
        <is>
          <t>I. ASSETS</t>
        </is>
      </c>
    </row>
    <row r="7">
      <c r="B7" s="6" t="inlineStr">
        <is>
          <t>Gross Fixed Assets (Gross Block)</t>
        </is>
      </c>
      <c r="C7" s="15">
        <f>Depreciation!C$22</f>
        <v/>
      </c>
      <c r="D7" s="15">
        <f>Depreciation!D$22</f>
        <v/>
      </c>
      <c r="E7" s="15">
        <f>Depreciation!E$22</f>
        <v/>
      </c>
      <c r="F7" s="15">
        <f>Depreciation!F$22</f>
        <v/>
      </c>
      <c r="G7" s="15">
        <f>Depreciation!G$22</f>
        <v/>
      </c>
      <c r="H7" s="15">
        <f>Depreciation!H$22</f>
        <v/>
      </c>
      <c r="I7" s="15">
        <f>Depreciation!I$22</f>
        <v/>
      </c>
      <c r="J7" s="15">
        <f>Depreciation!J$22</f>
        <v/>
      </c>
      <c r="K7" s="15">
        <f>Depreciation!K$22</f>
        <v/>
      </c>
      <c r="L7" s="15">
        <f>Depreciation!L$22</f>
        <v/>
      </c>
    </row>
    <row r="8">
      <c r="B8" s="6" t="inlineStr">
        <is>
          <t>[-] Accumulated Depreciation</t>
        </is>
      </c>
      <c r="C8" s="15">
        <f>Depreciation!C$25</f>
        <v/>
      </c>
      <c r="D8" s="15">
        <f>Depreciation!D$25</f>
        <v/>
      </c>
      <c r="E8" s="15">
        <f>Depreciation!E$25</f>
        <v/>
      </c>
      <c r="F8" s="15">
        <f>Depreciation!F$25</f>
        <v/>
      </c>
      <c r="G8" s="15">
        <f>Depreciation!G$25</f>
        <v/>
      </c>
      <c r="H8" s="15">
        <f>Depreciation!H$25</f>
        <v/>
      </c>
      <c r="I8" s="15">
        <f>Depreciation!I$25</f>
        <v/>
      </c>
      <c r="J8" s="15">
        <f>Depreciation!J$25</f>
        <v/>
      </c>
      <c r="K8" s="15">
        <f>Depreciation!K$25</f>
        <v/>
      </c>
      <c r="L8" s="15">
        <f>Depreciation!L$25</f>
        <v/>
      </c>
    </row>
    <row r="9">
      <c r="B9" s="17" t="inlineStr">
        <is>
          <t>Net Fixed Assets (Net Block)</t>
        </is>
      </c>
      <c r="C9" s="18">
        <f>C7-C8</f>
        <v/>
      </c>
      <c r="D9" s="18">
        <f>D7-D8</f>
        <v/>
      </c>
      <c r="E9" s="18">
        <f>E7-E8</f>
        <v/>
      </c>
      <c r="F9" s="18">
        <f>F7-F8</f>
        <v/>
      </c>
      <c r="G9" s="18">
        <f>G7-G8</f>
        <v/>
      </c>
      <c r="H9" s="18">
        <f>H7-H8</f>
        <v/>
      </c>
      <c r="I9" s="18">
        <f>I7-I8</f>
        <v/>
      </c>
      <c r="J9" s="18">
        <f>J7-J8</f>
        <v/>
      </c>
      <c r="K9" s="18">
        <f>K7-K8</f>
        <v/>
      </c>
      <c r="L9" s="18">
        <f>L7-L8</f>
        <v/>
      </c>
    </row>
    <row r="10">
      <c r="B10" s="6" t="inlineStr">
        <is>
          <t>Capital Work-in-Progress (CWIP)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</row>
    <row r="11">
      <c r="B11" s="6" t="inlineStr">
        <is>
          <t>Cash &amp; Bank Balances</t>
        </is>
      </c>
      <c r="C11" s="15">
        <f>'Cash Flow'!C$13</f>
        <v/>
      </c>
      <c r="D11" s="15">
        <f>'Cash Flow'!D$13</f>
        <v/>
      </c>
      <c r="E11" s="15">
        <f>'Cash Flow'!E$13</f>
        <v/>
      </c>
      <c r="F11" s="15">
        <f>'Cash Flow'!F$13</f>
        <v/>
      </c>
      <c r="G11" s="15">
        <f>'Cash Flow'!G$13</f>
        <v/>
      </c>
      <c r="H11" s="15">
        <f>'Cash Flow'!H$13</f>
        <v/>
      </c>
      <c r="I11" s="15">
        <f>'Cash Flow'!I$13</f>
        <v/>
      </c>
      <c r="J11" s="15">
        <f>'Cash Flow'!J$13</f>
        <v/>
      </c>
      <c r="K11" s="15">
        <f>'Cash Flow'!K$13</f>
        <v/>
      </c>
      <c r="L11" s="15">
        <f>'Cash Flow'!L$13</f>
        <v/>
      </c>
    </row>
    <row r="12">
      <c r="B12" s="20" t="inlineStr">
        <is>
          <t>Total Assets</t>
        </is>
      </c>
      <c r="C12" s="21">
        <f>C9+C10+C11</f>
        <v/>
      </c>
      <c r="D12" s="21">
        <f>D9+D10+D11</f>
        <v/>
      </c>
      <c r="E12" s="21">
        <f>E9+E10+E11</f>
        <v/>
      </c>
      <c r="F12" s="21">
        <f>F9+F10+F11</f>
        <v/>
      </c>
      <c r="G12" s="21">
        <f>G9+G10+G11</f>
        <v/>
      </c>
      <c r="H12" s="21">
        <f>H9+H10+H11</f>
        <v/>
      </c>
      <c r="I12" s="21">
        <f>I9+I10+I11</f>
        <v/>
      </c>
      <c r="J12" s="21">
        <f>J9+J10+J11</f>
        <v/>
      </c>
      <c r="K12" s="21">
        <f>K9+K10+K11</f>
        <v/>
      </c>
      <c r="L12" s="21">
        <f>L9+L10+L11</f>
        <v/>
      </c>
    </row>
    <row r="13">
      <c r="B13" s="32" t="inlineStr">
        <is>
          <t>II. EQUITY &amp; LIABILITIES</t>
        </is>
      </c>
    </row>
    <row r="14">
      <c r="B14" s="6" t="inlineStr">
        <is>
          <t>Promoter Share Capital / Equity</t>
        </is>
      </c>
      <c r="C14" s="15">
        <f>'Project Cost &amp; Finance'!$E$13</f>
        <v/>
      </c>
      <c r="D14" s="15">
        <f>'Project Cost &amp; Finance'!$E$13</f>
        <v/>
      </c>
      <c r="E14" s="15">
        <f>'Project Cost &amp; Finance'!$E$13</f>
        <v/>
      </c>
      <c r="F14" s="15">
        <f>'Project Cost &amp; Finance'!$E$13</f>
        <v/>
      </c>
      <c r="G14" s="15">
        <f>'Project Cost &amp; Finance'!$E$13</f>
        <v/>
      </c>
      <c r="H14" s="15">
        <f>'Project Cost &amp; Finance'!$E$13</f>
        <v/>
      </c>
      <c r="I14" s="15">
        <f>'Project Cost &amp; Finance'!$E$13</f>
        <v/>
      </c>
      <c r="J14" s="15">
        <f>'Project Cost &amp; Finance'!$E$13</f>
        <v/>
      </c>
      <c r="K14" s="15">
        <f>'Project Cost &amp; Finance'!$E$13</f>
        <v/>
      </c>
      <c r="L14" s="15">
        <f>'Project Cost &amp; Finance'!$E$13</f>
        <v/>
      </c>
    </row>
    <row r="15">
      <c r="B15" s="6" t="inlineStr">
        <is>
          <t>Reserves &amp; Surplus (Accumulated Retained Earnings)</t>
        </is>
      </c>
      <c r="C15" s="15">
        <f>'Projected P&amp;L'!C$30</f>
        <v/>
      </c>
      <c r="D15" s="15">
        <f>C15+'Projected P&amp;L'!D$30</f>
        <v/>
      </c>
      <c r="E15" s="15">
        <f>D15+'Projected P&amp;L'!E$30</f>
        <v/>
      </c>
      <c r="F15" s="15">
        <f>E15+'Projected P&amp;L'!F$30</f>
        <v/>
      </c>
      <c r="G15" s="15">
        <f>F15+'Projected P&amp;L'!G$30</f>
        <v/>
      </c>
      <c r="H15" s="15">
        <f>G15+'Projected P&amp;L'!H$30</f>
        <v/>
      </c>
      <c r="I15" s="15">
        <f>H15+'Projected P&amp;L'!I$30</f>
        <v/>
      </c>
      <c r="J15" s="15">
        <f>I15+'Projected P&amp;L'!J$30</f>
        <v/>
      </c>
      <c r="K15" s="15">
        <f>J15+'Projected P&amp;L'!K$30</f>
        <v/>
      </c>
      <c r="L15" s="15">
        <f>K15+'Projected P&amp;L'!L$30</f>
        <v/>
      </c>
    </row>
    <row r="16">
      <c r="B16" s="17" t="inlineStr">
        <is>
          <t>Total Net Worth (Shareholders' Funds)</t>
        </is>
      </c>
      <c r="C16" s="18">
        <f>C14+C15</f>
        <v/>
      </c>
      <c r="D16" s="18">
        <f>D14+D15</f>
        <v/>
      </c>
      <c r="E16" s="18">
        <f>E14+E15</f>
        <v/>
      </c>
      <c r="F16" s="18">
        <f>F14+F15</f>
        <v/>
      </c>
      <c r="G16" s="18">
        <f>G14+G15</f>
        <v/>
      </c>
      <c r="H16" s="18">
        <f>H14+H15</f>
        <v/>
      </c>
      <c r="I16" s="18">
        <f>I14+I15</f>
        <v/>
      </c>
      <c r="J16" s="18">
        <f>J14+J15</f>
        <v/>
      </c>
      <c r="K16" s="18">
        <f>K14+K15</f>
        <v/>
      </c>
      <c r="L16" s="18">
        <f>L14+L15</f>
        <v/>
      </c>
    </row>
    <row r="17">
      <c r="B17" s="6" t="inlineStr">
        <is>
          <t>Bank Term Loan (Outstanding Non-Current Debt)</t>
        </is>
      </c>
      <c r="C17" s="15">
        <f>'Loan Repayment Schedule'!C$10</f>
        <v/>
      </c>
      <c r="D17" s="15">
        <f>'Loan Repayment Schedule'!D$10</f>
        <v/>
      </c>
      <c r="E17" s="15">
        <f>'Loan Repayment Schedule'!E$10</f>
        <v/>
      </c>
      <c r="F17" s="15">
        <f>'Loan Repayment Schedule'!F$10</f>
        <v/>
      </c>
      <c r="G17" s="15">
        <f>'Loan Repayment Schedule'!G$10</f>
        <v/>
      </c>
      <c r="H17" s="15">
        <f>'Loan Repayment Schedule'!H$10</f>
        <v/>
      </c>
      <c r="I17" s="15">
        <f>'Loan Repayment Schedule'!I$10</f>
        <v/>
      </c>
      <c r="J17" s="15">
        <f>'Loan Repayment Schedule'!J$10</f>
        <v/>
      </c>
      <c r="K17" s="15">
        <f>'Loan Repayment Schedule'!K$10</f>
        <v/>
      </c>
      <c r="L17" s="15">
        <f>'Loan Repayment Schedule'!L$10</f>
        <v/>
      </c>
    </row>
    <row r="18">
      <c r="B18" s="20" t="inlineStr">
        <is>
          <t>Total Liabilities &amp; Net Worth</t>
        </is>
      </c>
      <c r="C18" s="21">
        <f>C16+C17</f>
        <v/>
      </c>
      <c r="D18" s="21">
        <f>D16+D17</f>
        <v/>
      </c>
      <c r="E18" s="21">
        <f>E16+E17</f>
        <v/>
      </c>
      <c r="F18" s="21">
        <f>F16+F17</f>
        <v/>
      </c>
      <c r="G18" s="21">
        <f>G16+G17</f>
        <v/>
      </c>
      <c r="H18" s="21">
        <f>H16+H17</f>
        <v/>
      </c>
      <c r="I18" s="21">
        <f>I16+I17</f>
        <v/>
      </c>
      <c r="J18" s="21">
        <f>J16+J17</f>
        <v/>
      </c>
      <c r="K18" s="21">
        <f>K16+K17</f>
        <v/>
      </c>
      <c r="L18" s="21">
        <f>L16+L17</f>
        <v/>
      </c>
    </row>
    <row r="19">
      <c r="B19" s="17" t="inlineStr">
        <is>
          <t>Balance Sheet Check (Total Assets - Total Liabilities)</t>
        </is>
      </c>
      <c r="C19" s="33">
        <f>C12-C18</f>
        <v/>
      </c>
      <c r="D19" s="33">
        <f>D12-D18</f>
        <v/>
      </c>
      <c r="E19" s="33">
        <f>E12-E18</f>
        <v/>
      </c>
      <c r="F19" s="33">
        <f>F12-F18</f>
        <v/>
      </c>
      <c r="G19" s="33">
        <f>G12-G18</f>
        <v/>
      </c>
      <c r="H19" s="33">
        <f>H12-H18</f>
        <v/>
      </c>
      <c r="I19" s="33">
        <f>I12-I18</f>
        <v/>
      </c>
      <c r="J19" s="33">
        <f>J12-J18</f>
        <v/>
      </c>
      <c r="K19" s="33">
        <f>K12-K18</f>
        <v/>
      </c>
      <c r="L19" s="33">
        <f>L12-L18</f>
        <v/>
      </c>
    </row>
    <row r="20">
      <c r="B20" s="17" t="inlineStr">
        <is>
          <t>Audit Verification Status</t>
        </is>
      </c>
      <c r="C20" s="34">
        <f>IF(ABS(C19)&lt;0.01, "0.00 (TALLIES)", "DISCREPANCY")</f>
        <v/>
      </c>
      <c r="D20" s="34">
        <f>IF(ABS(D19)&lt;0.01, "0.00 (TALLIES)", "DISCREPANCY")</f>
        <v/>
      </c>
      <c r="E20" s="34">
        <f>IF(ABS(E19)&lt;0.01, "0.00 (TALLIES)", "DISCREPANCY")</f>
        <v/>
      </c>
      <c r="F20" s="34">
        <f>IF(ABS(F19)&lt;0.01, "0.00 (TALLIES)", "DISCREPANCY")</f>
        <v/>
      </c>
      <c r="G20" s="34">
        <f>IF(ABS(G19)&lt;0.01, "0.00 (TALLIES)", "DISCREPANCY")</f>
        <v/>
      </c>
      <c r="H20" s="34">
        <f>IF(ABS(H19)&lt;0.01, "0.00 (TALLIES)", "DISCREPANCY")</f>
        <v/>
      </c>
      <c r="I20" s="34">
        <f>IF(ABS(I19)&lt;0.01, "0.00 (TALLIES)", "DISCREPANCY")</f>
        <v/>
      </c>
      <c r="J20" s="34">
        <f>IF(ABS(J19)&lt;0.01, "0.00 (TALLIES)", "DISCREPANCY")</f>
        <v/>
      </c>
      <c r="K20" s="34">
        <f>IF(ABS(K19)&lt;0.01, "0.00 (TALLIES)", "DISCREPANCY")</f>
        <v/>
      </c>
      <c r="L20" s="34">
        <f>IF(ABS(L19)&lt;0.01, "0.00 (TALLIES)", "DISCREPANCY")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Projected Balance Sheet</oddHeader>
    <oddFooter>&amp;LConfidential - Bank Credit Appraisal Dossier&amp;RPage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B1" s="7" t="inlineStr">
        <is>
          <t>PROJECTED CASH FLOW STATEMENT (₹ in Crore)</t>
        </is>
      </c>
    </row>
    <row r="2">
      <c r="B2" s="8" t="inlineStr">
        <is>
          <t>Operating and financing cash reconciliation. Closing cash balance links to Balance Sheet.</t>
        </is>
      </c>
    </row>
    <row r="3"/>
    <row r="4">
      <c r="B4" s="3" t="inlineStr">
        <is>
          <t>CASH FLOW STATEMENT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B5" s="17" t="inlineStr">
        <is>
          <t>Particulars</t>
        </is>
      </c>
      <c r="C5" s="12" t="inlineStr">
        <is>
          <t>Y1 (FY2026)</t>
        </is>
      </c>
      <c r="D5" s="12" t="inlineStr">
        <is>
          <t>Y2 (FY2027)</t>
        </is>
      </c>
      <c r="E5" s="12" t="inlineStr">
        <is>
          <t>Y3 (FY2028)</t>
        </is>
      </c>
      <c r="F5" s="12" t="inlineStr">
        <is>
          <t>Y4 (FY2029)</t>
        </is>
      </c>
      <c r="G5" s="12" t="inlineStr">
        <is>
          <t>Y5 (FY2030)</t>
        </is>
      </c>
      <c r="H5" s="12" t="inlineStr">
        <is>
          <t>Y6 (FY2031)</t>
        </is>
      </c>
      <c r="I5" s="12" t="inlineStr">
        <is>
          <t>Y7 (FY2032)</t>
        </is>
      </c>
      <c r="J5" s="12" t="inlineStr">
        <is>
          <t>Y8 (FY2033)</t>
        </is>
      </c>
      <c r="K5" s="12" t="inlineStr">
        <is>
          <t>Y9 (FY2034)</t>
        </is>
      </c>
      <c r="L5" s="12" t="inlineStr">
        <is>
          <t>Y10 (FY2035)</t>
        </is>
      </c>
    </row>
    <row r="6">
      <c r="B6" s="32" t="inlineStr">
        <is>
          <t>I. CASH FLOW FROM OPERATING ACTIVITIES</t>
        </is>
      </c>
    </row>
    <row r="7">
      <c r="B7" s="6" t="inlineStr">
        <is>
          <t>Net Profit After Tax (PAT)</t>
        </is>
      </c>
      <c r="C7" s="15">
        <f>'Projected P&amp;L'!C$30</f>
        <v/>
      </c>
      <c r="D7" s="15">
        <f>'Projected P&amp;L'!D$30</f>
        <v/>
      </c>
      <c r="E7" s="15">
        <f>'Projected P&amp;L'!E$30</f>
        <v/>
      </c>
      <c r="F7" s="15">
        <f>'Projected P&amp;L'!F$30</f>
        <v/>
      </c>
      <c r="G7" s="15">
        <f>'Projected P&amp;L'!G$30</f>
        <v/>
      </c>
      <c r="H7" s="15">
        <f>'Projected P&amp;L'!H$30</f>
        <v/>
      </c>
      <c r="I7" s="15">
        <f>'Projected P&amp;L'!I$30</f>
        <v/>
      </c>
      <c r="J7" s="15">
        <f>'Projected P&amp;L'!J$30</f>
        <v/>
      </c>
      <c r="K7" s="15">
        <f>'Projected P&amp;L'!K$30</f>
        <v/>
      </c>
      <c r="L7" s="15">
        <f>'Projected P&amp;L'!L$30</f>
        <v/>
      </c>
    </row>
    <row r="8">
      <c r="B8" s="6" t="inlineStr">
        <is>
          <t>[+] Non-Cash Depreciation Added Back</t>
        </is>
      </c>
      <c r="C8" s="15">
        <f>Depreciation!C$24</f>
        <v/>
      </c>
      <c r="D8" s="15">
        <f>Depreciation!D$24</f>
        <v/>
      </c>
      <c r="E8" s="15">
        <f>Depreciation!E$24</f>
        <v/>
      </c>
      <c r="F8" s="15">
        <f>Depreciation!F$24</f>
        <v/>
      </c>
      <c r="G8" s="15">
        <f>Depreciation!G$24</f>
        <v/>
      </c>
      <c r="H8" s="15">
        <f>Depreciation!H$24</f>
        <v/>
      </c>
      <c r="I8" s="15">
        <f>Depreciation!I$24</f>
        <v/>
      </c>
      <c r="J8" s="15">
        <f>Depreciation!J$24</f>
        <v/>
      </c>
      <c r="K8" s="15">
        <f>Depreciation!K$24</f>
        <v/>
      </c>
      <c r="L8" s="15">
        <f>Depreciation!L$24</f>
        <v/>
      </c>
    </row>
    <row r="9">
      <c r="B9" s="17" t="inlineStr">
        <is>
          <t>Operating Cash Flow [A]</t>
        </is>
      </c>
      <c r="C9" s="18">
        <f>C7+C8</f>
        <v/>
      </c>
      <c r="D9" s="18">
        <f>D7+D8</f>
        <v/>
      </c>
      <c r="E9" s="18">
        <f>E7+E8</f>
        <v/>
      </c>
      <c r="F9" s="18">
        <f>F7+F8</f>
        <v/>
      </c>
      <c r="G9" s="18">
        <f>G7+G8</f>
        <v/>
      </c>
      <c r="H9" s="18">
        <f>H7+H8</f>
        <v/>
      </c>
      <c r="I9" s="18">
        <f>I7+I8</f>
        <v/>
      </c>
      <c r="J9" s="18">
        <f>J7+J8</f>
        <v/>
      </c>
      <c r="K9" s="18">
        <f>K7+K8</f>
        <v/>
      </c>
      <c r="L9" s="18">
        <f>L7+L8</f>
        <v/>
      </c>
    </row>
    <row r="10">
      <c r="B10" s="32" t="inlineStr">
        <is>
          <t>II. CASH FLOW FROM FINANCING ACTIVITIES</t>
        </is>
      </c>
    </row>
    <row r="11">
      <c r="B11" s="6" t="inlineStr">
        <is>
          <t>[-] Term Loan Principal Repayment</t>
        </is>
      </c>
      <c r="C11" s="15">
        <f>-'Loan Repayment Schedule'!C$9</f>
        <v/>
      </c>
      <c r="D11" s="15">
        <f>-'Loan Repayment Schedule'!D$9</f>
        <v/>
      </c>
      <c r="E11" s="15">
        <f>-'Loan Repayment Schedule'!E$9</f>
        <v/>
      </c>
      <c r="F11" s="15">
        <f>-'Loan Repayment Schedule'!F$9</f>
        <v/>
      </c>
      <c r="G11" s="15">
        <f>-'Loan Repayment Schedule'!G$9</f>
        <v/>
      </c>
      <c r="H11" s="15">
        <f>-'Loan Repayment Schedule'!H$9</f>
        <v/>
      </c>
      <c r="I11" s="15">
        <f>-'Loan Repayment Schedule'!I$9</f>
        <v/>
      </c>
      <c r="J11" s="15">
        <f>-'Loan Repayment Schedule'!J$9</f>
        <v/>
      </c>
      <c r="K11" s="15">
        <f>-'Loan Repayment Schedule'!K$9</f>
        <v/>
      </c>
      <c r="L11" s="15">
        <f>-'Loan Repayment Schedule'!L$9</f>
        <v/>
      </c>
    </row>
    <row r="12">
      <c r="B12" s="17" t="inlineStr">
        <is>
          <t>Net Cash Surplus / (Deficit) for the Year [A + B]</t>
        </is>
      </c>
      <c r="C12" s="18">
        <f>C9+C11</f>
        <v/>
      </c>
      <c r="D12" s="18">
        <f>D9+D11</f>
        <v/>
      </c>
      <c r="E12" s="18">
        <f>E9+E11</f>
        <v/>
      </c>
      <c r="F12" s="18">
        <f>F9+F11</f>
        <v/>
      </c>
      <c r="G12" s="18">
        <f>G9+G11</f>
        <v/>
      </c>
      <c r="H12" s="18">
        <f>H9+H11</f>
        <v/>
      </c>
      <c r="I12" s="18">
        <f>I9+I11</f>
        <v/>
      </c>
      <c r="J12" s="18">
        <f>J9+J11</f>
        <v/>
      </c>
      <c r="K12" s="18">
        <f>K9+K11</f>
        <v/>
      </c>
      <c r="L12" s="18">
        <f>L9+L11</f>
        <v/>
      </c>
    </row>
    <row r="13">
      <c r="B13" s="20" t="inlineStr">
        <is>
          <t>Closing Cash &amp; Bank Balance</t>
        </is>
      </c>
      <c r="C13" s="21">
        <f>C12</f>
        <v/>
      </c>
      <c r="D13" s="21">
        <f>C13+D12</f>
        <v/>
      </c>
      <c r="E13" s="21">
        <f>D13+E12</f>
        <v/>
      </c>
      <c r="F13" s="21">
        <f>E13+F12</f>
        <v/>
      </c>
      <c r="G13" s="21">
        <f>F13+G12</f>
        <v/>
      </c>
      <c r="H13" s="21">
        <f>G13+H12</f>
        <v/>
      </c>
      <c r="I13" s="21">
        <f>H13+I12</f>
        <v/>
      </c>
      <c r="J13" s="21">
        <f>I13+J12</f>
        <v/>
      </c>
      <c r="K13" s="21">
        <f>J13+K12</f>
        <v/>
      </c>
      <c r="L13" s="21">
        <f>K13+L12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Cash Flow</oddHeader>
    <oddFooter>&amp;LConfidential - Bank Credit Appraisal Dossier&amp;RPage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B1" s="7" t="inlineStr">
        <is>
          <t>BANKING RATIOS, DEBT SERVICE COVERAGE (DSCR) &amp; CHARTS</t>
        </is>
      </c>
    </row>
    <row r="2">
      <c r="B2" s="8" t="inlineStr">
        <is>
          <t>Key bank appraisal viability indicators and coverage trends.</t>
        </is>
      </c>
    </row>
    <row r="3"/>
    <row r="4">
      <c r="B4" s="3" t="inlineStr">
        <is>
          <t>1. DEBT SERVICE COVERAGE RATIO (DSCR) SCHEDULE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17" t="inlineStr">
        <is>
          <t>Particulars</t>
        </is>
      </c>
      <c r="C5" s="12" t="inlineStr">
        <is>
          <t>Y1</t>
        </is>
      </c>
      <c r="D5" s="12" t="inlineStr">
        <is>
          <t>Y2</t>
        </is>
      </c>
      <c r="E5" s="12" t="inlineStr">
        <is>
          <t>Y3</t>
        </is>
      </c>
      <c r="F5" s="12" t="inlineStr">
        <is>
          <t>Y4</t>
        </is>
      </c>
      <c r="G5" s="12" t="inlineStr">
        <is>
          <t>Y5</t>
        </is>
      </c>
      <c r="H5" s="12" t="inlineStr">
        <is>
          <t>Y6</t>
        </is>
      </c>
      <c r="I5" s="12" t="inlineStr">
        <is>
          <t>Y7</t>
        </is>
      </c>
      <c r="J5" s="12" t="inlineStr">
        <is>
          <t>Y8</t>
        </is>
      </c>
      <c r="K5" s="12" t="inlineStr">
        <is>
          <t>Y9</t>
        </is>
      </c>
      <c r="L5" s="12" t="inlineStr">
        <is>
          <t>Y10</t>
        </is>
      </c>
      <c r="M5" s="12" t="inlineStr">
        <is>
          <t>Average / Benchmark</t>
        </is>
      </c>
    </row>
    <row r="6">
      <c r="B6" s="6" t="inlineStr">
        <is>
          <t>Net Profit After Tax (PAT)</t>
        </is>
      </c>
      <c r="C6" s="15">
        <f>'Projected P&amp;L'!C$30</f>
        <v/>
      </c>
      <c r="D6" s="15">
        <f>'Projected P&amp;L'!D$30</f>
        <v/>
      </c>
      <c r="E6" s="15">
        <f>'Projected P&amp;L'!E$30</f>
        <v/>
      </c>
      <c r="F6" s="15">
        <f>'Projected P&amp;L'!F$30</f>
        <v/>
      </c>
      <c r="G6" s="15">
        <f>'Projected P&amp;L'!G$30</f>
        <v/>
      </c>
      <c r="H6" s="15">
        <f>'Projected P&amp;L'!H$30</f>
        <v/>
      </c>
      <c r="I6" s="15">
        <f>'Projected P&amp;L'!I$30</f>
        <v/>
      </c>
      <c r="J6" s="15">
        <f>'Projected P&amp;L'!J$30</f>
        <v/>
      </c>
      <c r="K6" s="15">
        <f>'Projected P&amp;L'!K$30</f>
        <v/>
      </c>
      <c r="L6" s="15">
        <f>'Projected P&amp;L'!L$30</f>
        <v/>
      </c>
      <c r="M6" s="26">
        <f>AVERAGE(C6:L6)</f>
        <v/>
      </c>
    </row>
    <row r="7">
      <c r="B7" s="6" t="inlineStr">
        <is>
          <t>[+] Depreciation for the Year</t>
        </is>
      </c>
      <c r="C7" s="15">
        <f>Depreciation!C$24</f>
        <v/>
      </c>
      <c r="D7" s="15">
        <f>Depreciation!D$24</f>
        <v/>
      </c>
      <c r="E7" s="15">
        <f>Depreciation!E$24</f>
        <v/>
      </c>
      <c r="F7" s="15">
        <f>Depreciation!F$24</f>
        <v/>
      </c>
      <c r="G7" s="15">
        <f>Depreciation!G$24</f>
        <v/>
      </c>
      <c r="H7" s="15">
        <f>Depreciation!H$24</f>
        <v/>
      </c>
      <c r="I7" s="15">
        <f>Depreciation!I$24</f>
        <v/>
      </c>
      <c r="J7" s="15">
        <f>Depreciation!J$24</f>
        <v/>
      </c>
      <c r="K7" s="15">
        <f>Depreciation!K$24</f>
        <v/>
      </c>
      <c r="L7" s="15">
        <f>Depreciation!L$24</f>
        <v/>
      </c>
      <c r="M7" s="26">
        <f>AVERAGE(C7:L7)</f>
        <v/>
      </c>
    </row>
    <row r="8">
      <c r="B8" s="6" t="inlineStr">
        <is>
          <t>[+] Interest on Term Loan</t>
        </is>
      </c>
      <c r="C8" s="15">
        <f>'Loan Repayment Schedule'!C$12</f>
        <v/>
      </c>
      <c r="D8" s="15">
        <f>'Loan Repayment Schedule'!D$12</f>
        <v/>
      </c>
      <c r="E8" s="15">
        <f>'Loan Repayment Schedule'!E$12</f>
        <v/>
      </c>
      <c r="F8" s="15">
        <f>'Loan Repayment Schedule'!F$12</f>
        <v/>
      </c>
      <c r="G8" s="15">
        <f>'Loan Repayment Schedule'!G$12</f>
        <v/>
      </c>
      <c r="H8" s="15">
        <f>'Loan Repayment Schedule'!H$12</f>
        <v/>
      </c>
      <c r="I8" s="15">
        <f>'Loan Repayment Schedule'!I$12</f>
        <v/>
      </c>
      <c r="J8" s="15">
        <f>'Loan Repayment Schedule'!J$12</f>
        <v/>
      </c>
      <c r="K8" s="15">
        <f>'Loan Repayment Schedule'!K$12</f>
        <v/>
      </c>
      <c r="L8" s="15">
        <f>'Loan Repayment Schedule'!L$12</f>
        <v/>
      </c>
      <c r="M8" s="26">
        <f>AVERAGE(C8:L8)</f>
        <v/>
      </c>
    </row>
    <row r="9">
      <c r="B9" s="17" t="inlineStr">
        <is>
          <t>Cash Available for Debt Service (CADS)</t>
        </is>
      </c>
      <c r="C9" s="18">
        <f>C6+C7+C8</f>
        <v/>
      </c>
      <c r="D9" s="18">
        <f>D6+D7+D8</f>
        <v/>
      </c>
      <c r="E9" s="18">
        <f>E6+E7+E8</f>
        <v/>
      </c>
      <c r="F9" s="18">
        <f>F6+F7+F8</f>
        <v/>
      </c>
      <c r="G9" s="18">
        <f>G6+G7+G8</f>
        <v/>
      </c>
      <c r="H9" s="18">
        <f>H6+H7+H8</f>
        <v/>
      </c>
      <c r="I9" s="18">
        <f>I6+I7+I8</f>
        <v/>
      </c>
      <c r="J9" s="18">
        <f>J6+J7+J8</f>
        <v/>
      </c>
      <c r="K9" s="18">
        <f>K6+K7+K8</f>
        <v/>
      </c>
      <c r="L9" s="18">
        <f>L6+L7+L8</f>
        <v/>
      </c>
      <c r="M9" s="18">
        <f>AVERAGE(C9:L9)</f>
        <v/>
      </c>
    </row>
    <row r="10">
      <c r="B10" s="6" t="inlineStr">
        <is>
          <t>Principal Repayment Installment</t>
        </is>
      </c>
      <c r="C10" s="15">
        <f>'Loan Repayment Schedule'!C$9</f>
        <v/>
      </c>
      <c r="D10" s="15">
        <f>'Loan Repayment Schedule'!D$9</f>
        <v/>
      </c>
      <c r="E10" s="15">
        <f>'Loan Repayment Schedule'!E$9</f>
        <v/>
      </c>
      <c r="F10" s="15">
        <f>'Loan Repayment Schedule'!F$9</f>
        <v/>
      </c>
      <c r="G10" s="15">
        <f>'Loan Repayment Schedule'!G$9</f>
        <v/>
      </c>
      <c r="H10" s="15">
        <f>'Loan Repayment Schedule'!H$9</f>
        <v/>
      </c>
      <c r="I10" s="15">
        <f>'Loan Repayment Schedule'!I$9</f>
        <v/>
      </c>
      <c r="J10" s="15">
        <f>'Loan Repayment Schedule'!J$9</f>
        <v/>
      </c>
      <c r="K10" s="15">
        <f>'Loan Repayment Schedule'!K$9</f>
        <v/>
      </c>
      <c r="L10" s="15">
        <f>'Loan Repayment Schedule'!L$9</f>
        <v/>
      </c>
      <c r="M10" s="26">
        <f>AVERAGE(C10:L10)</f>
        <v/>
      </c>
    </row>
    <row r="11">
      <c r="B11" s="17" t="inlineStr">
        <is>
          <t>Total Debt Service Obligation (Principal + Interest)</t>
        </is>
      </c>
      <c r="C11" s="18">
        <f>C10+C8</f>
        <v/>
      </c>
      <c r="D11" s="18">
        <f>D10+D8</f>
        <v/>
      </c>
      <c r="E11" s="18">
        <f>E10+E8</f>
        <v/>
      </c>
      <c r="F11" s="18">
        <f>F10+F8</f>
        <v/>
      </c>
      <c r="G11" s="18">
        <f>G10+G8</f>
        <v/>
      </c>
      <c r="H11" s="18">
        <f>H10+H8</f>
        <v/>
      </c>
      <c r="I11" s="18">
        <f>I10+I8</f>
        <v/>
      </c>
      <c r="J11" s="18">
        <f>J10+J8</f>
        <v/>
      </c>
      <c r="K11" s="18">
        <f>K10+K8</f>
        <v/>
      </c>
      <c r="L11" s="18">
        <f>L10+L8</f>
        <v/>
      </c>
      <c r="M11" s="18">
        <f>AVERAGE(C11:L11)</f>
        <v/>
      </c>
    </row>
    <row r="12">
      <c r="B12" s="20" t="inlineStr">
        <is>
          <t>Debt Service Coverage Ratio (DSCR) [Times]</t>
        </is>
      </c>
      <c r="C12" s="35">
        <f>C9/C11</f>
        <v/>
      </c>
      <c r="D12" s="35">
        <f>D9/D11</f>
        <v/>
      </c>
      <c r="E12" s="35">
        <f>E9/E11</f>
        <v/>
      </c>
      <c r="F12" s="35">
        <f>F9/F11</f>
        <v/>
      </c>
      <c r="G12" s="35">
        <f>G9/G11</f>
        <v/>
      </c>
      <c r="H12" s="35">
        <f>H9/H11</f>
        <v/>
      </c>
      <c r="I12" s="35">
        <f>I9/I11</f>
        <v/>
      </c>
      <c r="J12" s="35">
        <f>J9/J11</f>
        <v/>
      </c>
      <c r="K12" s="35">
        <f>K9/K11</f>
        <v/>
      </c>
      <c r="L12" s="35">
        <f>L9/L11</f>
        <v/>
      </c>
      <c r="M12" s="35">
        <f>AVERAGE(C12:L12)</f>
        <v/>
      </c>
    </row>
    <row r="13"/>
    <row r="14">
      <c r="B14" s="3" t="inlineStr">
        <is>
          <t>2. KEY FINANCIAL RATIOS &amp; VIABILITY BENCHMARKS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B15" s="6" t="inlineStr">
        <is>
          <t>Interest Coverage Ratio (EBIT / Interest)</t>
        </is>
      </c>
      <c r="C15" s="36">
        <f>'Projected P&amp;L'!C$27/'Loan Repayment Schedule'!C$12</f>
        <v/>
      </c>
      <c r="D15" s="36">
        <f>'Projected P&amp;L'!D$27/'Loan Repayment Schedule'!D$12</f>
        <v/>
      </c>
      <c r="E15" s="36">
        <f>'Projected P&amp;L'!E$27/'Loan Repayment Schedule'!E$12</f>
        <v/>
      </c>
      <c r="F15" s="36">
        <f>'Projected P&amp;L'!F$27/'Loan Repayment Schedule'!F$12</f>
        <v/>
      </c>
      <c r="G15" s="36">
        <f>'Projected P&amp;L'!G$27/'Loan Repayment Schedule'!G$12</f>
        <v/>
      </c>
      <c r="H15" s="36">
        <f>'Projected P&amp;L'!H$27/'Loan Repayment Schedule'!H$12</f>
        <v/>
      </c>
      <c r="I15" s="36">
        <f>'Projected P&amp;L'!I$27/'Loan Repayment Schedule'!I$12</f>
        <v/>
      </c>
      <c r="J15" s="36">
        <f>'Projected P&amp;L'!J$27/'Loan Repayment Schedule'!J$12</f>
        <v/>
      </c>
      <c r="K15" s="36">
        <f>'Projected P&amp;L'!K$27/'Loan Repayment Schedule'!K$12</f>
        <v/>
      </c>
      <c r="L15" s="36">
        <f>'Projected P&amp;L'!L$27/'Loan Repayment Schedule'!L$12</f>
        <v/>
      </c>
      <c r="M15" s="25">
        <f>AVERAGE(C15:L15)</f>
        <v/>
      </c>
    </row>
    <row r="16">
      <c r="B16" s="6" t="inlineStr">
        <is>
          <t>Debt-Equity Ratio (Term Loan / Net Worth)</t>
        </is>
      </c>
      <c r="C16" s="36">
        <f>'Projected Balance Sheet'!C$17/'Projected Balance Sheet'!C$16</f>
        <v/>
      </c>
      <c r="D16" s="36">
        <f>'Projected Balance Sheet'!D$17/'Projected Balance Sheet'!D$16</f>
        <v/>
      </c>
      <c r="E16" s="36">
        <f>'Projected Balance Sheet'!E$17/'Projected Balance Sheet'!E$16</f>
        <v/>
      </c>
      <c r="F16" s="36">
        <f>'Projected Balance Sheet'!F$17/'Projected Balance Sheet'!F$16</f>
        <v/>
      </c>
      <c r="G16" s="36">
        <f>'Projected Balance Sheet'!G$17/'Projected Balance Sheet'!G$16</f>
        <v/>
      </c>
      <c r="H16" s="36">
        <f>'Projected Balance Sheet'!H$17/'Projected Balance Sheet'!H$16</f>
        <v/>
      </c>
      <c r="I16" s="36">
        <f>'Projected Balance Sheet'!I$17/'Projected Balance Sheet'!I$16</f>
        <v/>
      </c>
      <c r="J16" s="36">
        <f>'Projected Balance Sheet'!J$17/'Projected Balance Sheet'!J$16</f>
        <v/>
      </c>
      <c r="K16" s="36">
        <f>'Projected Balance Sheet'!K$17/'Projected Balance Sheet'!K$16</f>
        <v/>
      </c>
      <c r="L16" s="36">
        <f>'Projected Balance Sheet'!L$17/'Projected Balance Sheet'!L$16</f>
        <v/>
      </c>
      <c r="M16" s="25">
        <f>AVERAGE(C16:L16)</f>
        <v/>
      </c>
    </row>
    <row r="17">
      <c r="B17" s="6" t="inlineStr">
        <is>
          <t>Net Profit Margin (% of Total Revenue)</t>
        </is>
      </c>
      <c r="C17" s="16">
        <f>'Projected P&amp;L'!C$30/'Projected P&amp;L'!C$12</f>
        <v/>
      </c>
      <c r="D17" s="16">
        <f>'Projected P&amp;L'!D$30/'Projected P&amp;L'!D$12</f>
        <v/>
      </c>
      <c r="E17" s="16">
        <f>'Projected P&amp;L'!E$30/'Projected P&amp;L'!E$12</f>
        <v/>
      </c>
      <c r="F17" s="16">
        <f>'Projected P&amp;L'!F$30/'Projected P&amp;L'!F$12</f>
        <v/>
      </c>
      <c r="G17" s="16">
        <f>'Projected P&amp;L'!G$30/'Projected P&amp;L'!G$12</f>
        <v/>
      </c>
      <c r="H17" s="16">
        <f>'Projected P&amp;L'!H$30/'Projected P&amp;L'!H$12</f>
        <v/>
      </c>
      <c r="I17" s="16">
        <f>'Projected P&amp;L'!I$30/'Projected P&amp;L'!I$12</f>
        <v/>
      </c>
      <c r="J17" s="16">
        <f>'Projected P&amp;L'!J$30/'Projected P&amp;L'!J$12</f>
        <v/>
      </c>
      <c r="K17" s="16">
        <f>'Projected P&amp;L'!K$30/'Projected P&amp;L'!K$12</f>
        <v/>
      </c>
      <c r="L17" s="16">
        <f>'Projected P&amp;L'!L$30/'Projected P&amp;L'!L$12</f>
        <v/>
      </c>
      <c r="M17" s="31">
        <f>AVERAGE(C17:L17)</f>
        <v/>
      </c>
    </row>
    <row r="18">
      <c r="B18" s="6" t="inlineStr">
        <is>
          <t>Operating EBITDA Margin (%)</t>
        </is>
      </c>
      <c r="C18" s="16">
        <f>'Projected P&amp;L'!C$26/'Projected P&amp;L'!C$12</f>
        <v/>
      </c>
      <c r="D18" s="16">
        <f>'Projected P&amp;L'!D$26/'Projected P&amp;L'!D$12</f>
        <v/>
      </c>
      <c r="E18" s="16">
        <f>'Projected P&amp;L'!E$26/'Projected P&amp;L'!E$12</f>
        <v/>
      </c>
      <c r="F18" s="16">
        <f>'Projected P&amp;L'!F$26/'Projected P&amp;L'!F$12</f>
        <v/>
      </c>
      <c r="G18" s="16">
        <f>'Projected P&amp;L'!G$26/'Projected P&amp;L'!G$12</f>
        <v/>
      </c>
      <c r="H18" s="16">
        <f>'Projected P&amp;L'!H$26/'Projected P&amp;L'!H$12</f>
        <v/>
      </c>
      <c r="I18" s="16">
        <f>'Projected P&amp;L'!I$26/'Projected P&amp;L'!I$12</f>
        <v/>
      </c>
      <c r="J18" s="16">
        <f>'Projected P&amp;L'!J$26/'Projected P&amp;L'!J$12</f>
        <v/>
      </c>
      <c r="K18" s="16">
        <f>'Projected P&amp;L'!K$26/'Projected P&amp;L'!K$12</f>
        <v/>
      </c>
      <c r="L18" s="16">
        <f>'Projected P&amp;L'!L$26/'Projected P&amp;L'!L$12</f>
        <v/>
      </c>
      <c r="M18" s="31">
        <f>AVERAGE(C18:L18)</f>
        <v/>
      </c>
    </row>
    <row r="19">
      <c r="B19" s="6" t="inlineStr">
        <is>
          <t>Return on Net Worth (ROE / RONW %)</t>
        </is>
      </c>
      <c r="C19" s="16">
        <f>'Projected P&amp;L'!C$30/'Projected Balance Sheet'!C$16</f>
        <v/>
      </c>
      <c r="D19" s="16">
        <f>'Projected P&amp;L'!D$30/'Projected Balance Sheet'!D$16</f>
        <v/>
      </c>
      <c r="E19" s="16">
        <f>'Projected P&amp;L'!E$30/'Projected Balance Sheet'!E$16</f>
        <v/>
      </c>
      <c r="F19" s="16">
        <f>'Projected P&amp;L'!F$30/'Projected Balance Sheet'!F$16</f>
        <v/>
      </c>
      <c r="G19" s="16">
        <f>'Projected P&amp;L'!G$30/'Projected Balance Sheet'!G$16</f>
        <v/>
      </c>
      <c r="H19" s="16">
        <f>'Projected P&amp;L'!H$30/'Projected Balance Sheet'!H$16</f>
        <v/>
      </c>
      <c r="I19" s="16">
        <f>'Projected P&amp;L'!I$30/'Projected Balance Sheet'!I$16</f>
        <v/>
      </c>
      <c r="J19" s="16">
        <f>'Projected P&amp;L'!J$30/'Projected Balance Sheet'!J$16</f>
        <v/>
      </c>
      <c r="K19" s="16">
        <f>'Projected P&amp;L'!K$30/'Projected Balance Sheet'!K$16</f>
        <v/>
      </c>
      <c r="L19" s="16">
        <f>'Projected P&amp;L'!L$30/'Projected Balance Sheet'!L$16</f>
        <v/>
      </c>
      <c r="M19" s="31">
        <f>AVERAGE(C19:L19)</f>
        <v/>
      </c>
    </row>
    <row r="20"/>
    <row r="21">
      <c r="B21" s="37" t="inlineStr">
        <is>
          <t>Chart Data Table</t>
        </is>
      </c>
    </row>
    <row r="22">
      <c r="B22" t="inlineStr">
        <is>
          <t>Metric</t>
        </is>
      </c>
      <c r="C22" t="inlineStr">
        <is>
          <t>Y1</t>
        </is>
      </c>
      <c r="D22" t="inlineStr">
        <is>
          <t>Y2</t>
        </is>
      </c>
      <c r="E22" t="inlineStr">
        <is>
          <t>Y3</t>
        </is>
      </c>
      <c r="F22" t="inlineStr">
        <is>
          <t>Y4</t>
        </is>
      </c>
      <c r="G22" t="inlineStr">
        <is>
          <t>Y5</t>
        </is>
      </c>
      <c r="H22" t="inlineStr">
        <is>
          <t>Y6</t>
        </is>
      </c>
      <c r="I22" t="inlineStr">
        <is>
          <t>Y7</t>
        </is>
      </c>
      <c r="J22" t="inlineStr">
        <is>
          <t>Y8</t>
        </is>
      </c>
      <c r="K22" t="inlineStr">
        <is>
          <t>Y9</t>
        </is>
      </c>
      <c r="L22" t="inlineStr">
        <is>
          <t>Y10</t>
        </is>
      </c>
    </row>
    <row r="23">
      <c r="B23" t="inlineStr">
        <is>
          <t>Revenue</t>
        </is>
      </c>
      <c r="C23">
        <f>'Projected P&amp;L'!C$12</f>
        <v/>
      </c>
      <c r="D23">
        <f>'Projected P&amp;L'!D$12</f>
        <v/>
      </c>
      <c r="E23">
        <f>'Projected P&amp;L'!E$12</f>
        <v/>
      </c>
      <c r="F23">
        <f>'Projected P&amp;L'!F$12</f>
        <v/>
      </c>
      <c r="G23">
        <f>'Projected P&amp;L'!G$12</f>
        <v/>
      </c>
      <c r="H23">
        <f>'Projected P&amp;L'!H$12</f>
        <v/>
      </c>
      <c r="I23">
        <f>'Projected P&amp;L'!I$12</f>
        <v/>
      </c>
      <c r="J23">
        <f>'Projected P&amp;L'!J$12</f>
        <v/>
      </c>
      <c r="K23">
        <f>'Projected P&amp;L'!K$12</f>
        <v/>
      </c>
      <c r="L23">
        <f>'Projected P&amp;L'!L$12</f>
        <v/>
      </c>
    </row>
    <row r="24">
      <c r="B24" t="inlineStr">
        <is>
          <t>PAT</t>
        </is>
      </c>
      <c r="C24">
        <f>'Projected P&amp;L'!C$30</f>
        <v/>
      </c>
      <c r="D24">
        <f>'Projected P&amp;L'!D$30</f>
        <v/>
      </c>
      <c r="E24">
        <f>'Projected P&amp;L'!E$30</f>
        <v/>
      </c>
      <c r="F24">
        <f>'Projected P&amp;L'!F$30</f>
        <v/>
      </c>
      <c r="G24">
        <f>'Projected P&amp;L'!G$30</f>
        <v/>
      </c>
      <c r="H24">
        <f>'Projected P&amp;L'!H$30</f>
        <v/>
      </c>
      <c r="I24">
        <f>'Projected P&amp;L'!I$30</f>
        <v/>
      </c>
      <c r="J24">
        <f>'Projected P&amp;L'!J$30</f>
        <v/>
      </c>
      <c r="K24">
        <f>'Projected P&amp;L'!K$30</f>
        <v/>
      </c>
      <c r="L24">
        <f>'Projected P&amp;L'!L$30</f>
        <v/>
      </c>
    </row>
    <row r="25">
      <c r="B25" t="inlineStr">
        <is>
          <t>DSCR</t>
        </is>
      </c>
      <c r="C25">
        <f>C12</f>
        <v/>
      </c>
      <c r="D25">
        <f>D12</f>
        <v/>
      </c>
      <c r="E25">
        <f>E12</f>
        <v/>
      </c>
      <c r="F25">
        <f>F12</f>
        <v/>
      </c>
      <c r="G25">
        <f>G12</f>
        <v/>
      </c>
      <c r="H25">
        <f>H12</f>
        <v/>
      </c>
      <c r="I25">
        <f>I12</f>
        <v/>
      </c>
      <c r="J25">
        <f>J12</f>
        <v/>
      </c>
      <c r="K25">
        <f>K12</f>
        <v/>
      </c>
      <c r="L25">
        <f>L12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Ratios &amp; DSCR</oddHeader>
    <oddFooter>&amp;LConfidential - Bank Credit Appraisal Dossier&amp;RPage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B1" s="7" t="inlineStr">
        <is>
          <t>BREAK-EVEN POINT (BEP) &amp; MARGIN OF SAFETY ANALYSIS (₹ in Crore)</t>
        </is>
      </c>
    </row>
    <row r="2">
      <c r="B2" s="8" t="inlineStr">
        <is>
          <t>Cost-Volume-Profit (CVP) analysis over 10-year projection horizon.</t>
        </is>
      </c>
    </row>
    <row r="3"/>
    <row r="4">
      <c r="B4" s="3" t="inlineStr">
        <is>
          <t>BREAK-EVEN CAPACITY &amp; SENSITIVITY ANALYSIS (₹ in Crore)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B5" s="17" t="inlineStr">
        <is>
          <t>Particulars</t>
        </is>
      </c>
      <c r="C5" s="12" t="inlineStr">
        <is>
          <t>Y1 (FY2026)</t>
        </is>
      </c>
      <c r="D5" s="12" t="inlineStr">
        <is>
          <t>Y2 (FY2027)</t>
        </is>
      </c>
      <c r="E5" s="12" t="inlineStr">
        <is>
          <t>Y3 (FY2028)</t>
        </is>
      </c>
      <c r="F5" s="12" t="inlineStr">
        <is>
          <t>Y4 (FY2029)</t>
        </is>
      </c>
      <c r="G5" s="12" t="inlineStr">
        <is>
          <t>Y5 (FY2030)</t>
        </is>
      </c>
      <c r="H5" s="12" t="inlineStr">
        <is>
          <t>Y6 (FY2031)</t>
        </is>
      </c>
      <c r="I5" s="12" t="inlineStr">
        <is>
          <t>Y7 (FY2032)</t>
        </is>
      </c>
      <c r="J5" s="12" t="inlineStr">
        <is>
          <t>Y8 (FY2033)</t>
        </is>
      </c>
      <c r="K5" s="12" t="inlineStr">
        <is>
          <t>Y9 (FY2034)</t>
        </is>
      </c>
      <c r="L5" s="12" t="inlineStr">
        <is>
          <t>Y10 (FY2035)</t>
        </is>
      </c>
    </row>
    <row r="6">
      <c r="B6" s="24" t="inlineStr">
        <is>
          <t>Total Operating Revenue [A]</t>
        </is>
      </c>
      <c r="C6" s="26">
        <f>'Projected P&amp;L'!C$12</f>
        <v/>
      </c>
      <c r="D6" s="26">
        <f>'Projected P&amp;L'!D$12</f>
        <v/>
      </c>
      <c r="E6" s="26">
        <f>'Projected P&amp;L'!E$12</f>
        <v/>
      </c>
      <c r="F6" s="26">
        <f>'Projected P&amp;L'!F$12</f>
        <v/>
      </c>
      <c r="G6" s="26">
        <f>'Projected P&amp;L'!G$12</f>
        <v/>
      </c>
      <c r="H6" s="26">
        <f>'Projected P&amp;L'!H$12</f>
        <v/>
      </c>
      <c r="I6" s="26">
        <f>'Projected P&amp;L'!I$12</f>
        <v/>
      </c>
      <c r="J6" s="26">
        <f>'Projected P&amp;L'!J$12</f>
        <v/>
      </c>
      <c r="K6" s="26">
        <f>'Projected P&amp;L'!K$12</f>
        <v/>
      </c>
      <c r="L6" s="26">
        <f>'Projected P&amp;L'!L$12</f>
        <v/>
      </c>
    </row>
    <row r="7">
      <c r="B7" s="6" t="inlineStr">
        <is>
          <t>[-] Total Variable Costs [B]</t>
        </is>
      </c>
      <c r="C7" s="15">
        <f>'Projected P&amp;L'!C$19</f>
        <v/>
      </c>
      <c r="D7" s="15">
        <f>'Projected P&amp;L'!D$19</f>
        <v/>
      </c>
      <c r="E7" s="15">
        <f>'Projected P&amp;L'!E$19</f>
        <v/>
      </c>
      <c r="F7" s="15">
        <f>'Projected P&amp;L'!F$19</f>
        <v/>
      </c>
      <c r="G7" s="15">
        <f>'Projected P&amp;L'!G$19</f>
        <v/>
      </c>
      <c r="H7" s="15">
        <f>'Projected P&amp;L'!H$19</f>
        <v/>
      </c>
      <c r="I7" s="15">
        <f>'Projected P&amp;L'!I$19</f>
        <v/>
      </c>
      <c r="J7" s="15">
        <f>'Projected P&amp;L'!J$19</f>
        <v/>
      </c>
      <c r="K7" s="15">
        <f>'Projected P&amp;L'!K$19</f>
        <v/>
      </c>
      <c r="L7" s="15">
        <f>'Projected P&amp;L'!L$19</f>
        <v/>
      </c>
    </row>
    <row r="8">
      <c r="B8" s="17" t="inlineStr">
        <is>
          <t>Contribution [C = A - B]</t>
        </is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>
      <c r="B9" s="6" t="inlineStr">
        <is>
          <t>Profit Volume (PV) Ratio [Contribution % of Sales]</t>
        </is>
      </c>
      <c r="C9" s="16">
        <f>C8/C6</f>
        <v/>
      </c>
      <c r="D9" s="16">
        <f>D8/D6</f>
        <v/>
      </c>
      <c r="E9" s="16">
        <f>E8/E6</f>
        <v/>
      </c>
      <c r="F9" s="16">
        <f>F8/F6</f>
        <v/>
      </c>
      <c r="G9" s="16">
        <f>G8/G6</f>
        <v/>
      </c>
      <c r="H9" s="16">
        <f>H8/H6</f>
        <v/>
      </c>
      <c r="I9" s="16">
        <f>I8/I6</f>
        <v/>
      </c>
      <c r="J9" s="16">
        <f>J8/J6</f>
        <v/>
      </c>
      <c r="K9" s="16">
        <f>K8/K6</f>
        <v/>
      </c>
      <c r="L9" s="16">
        <f>L8/L6</f>
        <v/>
      </c>
    </row>
    <row r="10">
      <c r="B10" s="6" t="inlineStr">
        <is>
          <t>Fixed Costs (Admin + Depreciation + Interest)</t>
        </is>
      </c>
      <c r="C10" s="15">
        <f>'Projected P&amp;L'!C$24</f>
        <v/>
      </c>
      <c r="D10" s="15">
        <f>'Projected P&amp;L'!D$24</f>
        <v/>
      </c>
      <c r="E10" s="15">
        <f>'Projected P&amp;L'!E$24</f>
        <v/>
      </c>
      <c r="F10" s="15">
        <f>'Projected P&amp;L'!F$24</f>
        <v/>
      </c>
      <c r="G10" s="15">
        <f>'Projected P&amp;L'!G$24</f>
        <v/>
      </c>
      <c r="H10" s="15">
        <f>'Projected P&amp;L'!H$24</f>
        <v/>
      </c>
      <c r="I10" s="15">
        <f>'Projected P&amp;L'!I$24</f>
        <v/>
      </c>
      <c r="J10" s="15">
        <f>'Projected P&amp;L'!J$24</f>
        <v/>
      </c>
      <c r="K10" s="15">
        <f>'Projected P&amp;L'!K$24</f>
        <v/>
      </c>
      <c r="L10" s="15">
        <f>'Projected P&amp;L'!L$24</f>
        <v/>
      </c>
    </row>
    <row r="11">
      <c r="B11" s="17" t="inlineStr">
        <is>
          <t>Break-Even Sales Revenue (₹ in Crore) [Fixed / PV]</t>
        </is>
      </c>
      <c r="C11" s="18">
        <f>C10/C9</f>
        <v/>
      </c>
      <c r="D11" s="18">
        <f>D10/D9</f>
        <v/>
      </c>
      <c r="E11" s="18">
        <f>E10/E9</f>
        <v/>
      </c>
      <c r="F11" s="18">
        <f>F10/F9</f>
        <v/>
      </c>
      <c r="G11" s="18">
        <f>G10/G9</f>
        <v/>
      </c>
      <c r="H11" s="18">
        <f>H10/H9</f>
        <v/>
      </c>
      <c r="I11" s="18">
        <f>I10/I9</f>
        <v/>
      </c>
      <c r="J11" s="18">
        <f>J10/J9</f>
        <v/>
      </c>
      <c r="K11" s="18">
        <f>K10/K9</f>
        <v/>
      </c>
      <c r="L11" s="18">
        <f>L10/L9</f>
        <v/>
      </c>
    </row>
    <row r="12">
      <c r="B12" s="20" t="inlineStr">
        <is>
          <t>Break-Even Point (% of Operating Revenue)</t>
        </is>
      </c>
      <c r="C12" s="23">
        <f>C11/C6</f>
        <v/>
      </c>
      <c r="D12" s="23">
        <f>D11/D6</f>
        <v/>
      </c>
      <c r="E12" s="23">
        <f>E11/E6</f>
        <v/>
      </c>
      <c r="F12" s="23">
        <f>F11/F6</f>
        <v/>
      </c>
      <c r="G12" s="23">
        <f>G11/G6</f>
        <v/>
      </c>
      <c r="H12" s="23">
        <f>H11/H6</f>
        <v/>
      </c>
      <c r="I12" s="23">
        <f>I11/I6</f>
        <v/>
      </c>
      <c r="J12" s="23">
        <f>J11/J6</f>
        <v/>
      </c>
      <c r="K12" s="23">
        <f>K11/K6</f>
        <v/>
      </c>
      <c r="L12" s="23">
        <f>L11/L6</f>
        <v/>
      </c>
    </row>
    <row r="13">
      <c r="B13" s="6" t="inlineStr">
        <is>
          <t>Cash Fixed Costs (excluding Depreciation)</t>
        </is>
      </c>
      <c r="C13" s="15">
        <f>C10-'Projected P&amp;L'!C$22</f>
        <v/>
      </c>
      <c r="D13" s="15">
        <f>D10-'Projected P&amp;L'!D$22</f>
        <v/>
      </c>
      <c r="E13" s="15">
        <f>E10-'Projected P&amp;L'!E$22</f>
        <v/>
      </c>
      <c r="F13" s="15">
        <f>F10-'Projected P&amp;L'!F$22</f>
        <v/>
      </c>
      <c r="G13" s="15">
        <f>G10-'Projected P&amp;L'!G$22</f>
        <v/>
      </c>
      <c r="H13" s="15">
        <f>H10-'Projected P&amp;L'!H$22</f>
        <v/>
      </c>
      <c r="I13" s="15">
        <f>I10-'Projected P&amp;L'!I$22</f>
        <v/>
      </c>
      <c r="J13" s="15">
        <f>J10-'Projected P&amp;L'!J$22</f>
        <v/>
      </c>
      <c r="K13" s="15">
        <f>K10-'Projected P&amp;L'!K$22</f>
        <v/>
      </c>
      <c r="L13" s="15">
        <f>L10-'Projected P&amp;L'!L$22</f>
        <v/>
      </c>
    </row>
    <row r="14">
      <c r="B14" s="6" t="inlineStr">
        <is>
          <t>Cash Break-Even Point (% of Sales)</t>
        </is>
      </c>
      <c r="C14" s="16">
        <f>(C13/C9)/C6</f>
        <v/>
      </c>
      <c r="D14" s="16">
        <f>(D13/D9)/D6</f>
        <v/>
      </c>
      <c r="E14" s="16">
        <f>(E13/E9)/E6</f>
        <v/>
      </c>
      <c r="F14" s="16">
        <f>(F13/F9)/F6</f>
        <v/>
      </c>
      <c r="G14" s="16">
        <f>(G13/G9)/G6</f>
        <v/>
      </c>
      <c r="H14" s="16">
        <f>(H13/H9)/H6</f>
        <v/>
      </c>
      <c r="I14" s="16">
        <f>(I13/I9)/I6</f>
        <v/>
      </c>
      <c r="J14" s="16">
        <f>(J13/J9)/J6</f>
        <v/>
      </c>
      <c r="K14" s="16">
        <f>(K13/K9)/K6</f>
        <v/>
      </c>
      <c r="L14" s="16">
        <f>(L13/L9)/L6</f>
        <v/>
      </c>
    </row>
    <row r="15">
      <c r="B15" s="24" t="inlineStr">
        <is>
          <t>Margin of Safety (₹ in Crore) [Sales - Break-Even]</t>
        </is>
      </c>
      <c r="C15" s="26">
        <f>C6-C11</f>
        <v/>
      </c>
      <c r="D15" s="26">
        <f>D6-D11</f>
        <v/>
      </c>
      <c r="E15" s="26">
        <f>E6-E11</f>
        <v/>
      </c>
      <c r="F15" s="26">
        <f>F6-F11</f>
        <v/>
      </c>
      <c r="G15" s="26">
        <f>G6-G11</f>
        <v/>
      </c>
      <c r="H15" s="26">
        <f>H6-H11</f>
        <v/>
      </c>
      <c r="I15" s="26">
        <f>I6-I11</f>
        <v/>
      </c>
      <c r="J15" s="26">
        <f>J6-J11</f>
        <v/>
      </c>
      <c r="K15" s="26">
        <f>K6-K11</f>
        <v/>
      </c>
      <c r="L15" s="26">
        <f>L6-L11</f>
        <v/>
      </c>
    </row>
    <row r="16">
      <c r="B16" s="38" t="inlineStr">
        <is>
          <t>Margin of Safety (% of Operating Revenue)</t>
        </is>
      </c>
      <c r="C16" s="23">
        <f>C15/C6</f>
        <v/>
      </c>
      <c r="D16" s="23">
        <f>D15/D6</f>
        <v/>
      </c>
      <c r="E16" s="23">
        <f>E15/E6</f>
        <v/>
      </c>
      <c r="F16" s="23">
        <f>F15/F6</f>
        <v/>
      </c>
      <c r="G16" s="23">
        <f>G15/G6</f>
        <v/>
      </c>
      <c r="H16" s="23">
        <f>H15/H6</f>
        <v/>
      </c>
      <c r="I16" s="23">
        <f>I15/I6</f>
        <v/>
      </c>
      <c r="J16" s="23">
        <f>J15/J6</f>
        <v/>
      </c>
      <c r="K16" s="23">
        <f>K15/K6</f>
        <v/>
      </c>
      <c r="L16" s="23">
        <f>L15/L6</f>
        <v/>
      </c>
    </row>
  </sheetData>
  <pageMargins left="0.75" right="0.75" top="1" bottom="1" header="0.5" footer="0.5"/>
  <pageSetup orientation="landscape" paperSize="9" fitToHeight="0" fitToWidth="1"/>
  <headerFooter>
    <oddHeader>&amp;LGrand Horizon Hospitality LLP  |  Break-even</oddHeader>
    <oddFooter>&amp;LConfidential - Bank Credit Appraisal Dossier&amp;RPage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2026-10-03T12:26:15Z</dcterms:created>
  <dcterms:modified xsi:type="dcterms:W3CDTF">2026-10-03T12:26:15Z</dcterms:modified>
</cp:coreProperties>
</file>
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wmf" ContentType="image/x-wmf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00ee7a00a3a624a5/Desktop/Caps Stone Project/"/>
    </mc:Choice>
  </mc:AlternateContent>
  <xr:revisionPtr revIDLastSave="3" documentId="13_ncr:1_{5455C0BF-2B65-4A46-90EE-B0A6E61CDEA4}" xr6:coauthVersionLast="47" xr6:coauthVersionMax="47" xr10:uidLastSave="{69ECC15B-FB0B-4B39-B15A-316860A71DD7}"/>
  <bookViews>
    <workbookView xWindow="-108" yWindow="-108" windowWidth="23256" windowHeight="12456" xr2:uid="{7D564483-04A9-4C41-B6FF-C5CBEFF94622}"/>
  </bookViews>
  <sheets>
    <sheet name="Assumption Sheet" sheetId="1" r:id="rId1"/>
    <sheet name="Project Income Statement" sheetId="2" r:id="rId2"/>
    <sheet name="Projected Balance Sheet" sheetId="3" r:id="rId3"/>
    <sheet name="Projected Cash FLow Statement" sheetId="4" r:id="rId4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C7" i="3" l="1"/>
  <c r="B7" i="3"/>
  <c r="K34" i="2"/>
  <c r="B5" i="2"/>
  <c r="C5" i="2" s="1"/>
  <c r="D5" i="2" s="1"/>
  <c r="E5" i="2" s="1"/>
  <c r="F5" i="2" s="1"/>
  <c r="G5" i="2" s="1"/>
  <c r="H5" i="2" s="1"/>
  <c r="I5" i="2" s="1"/>
  <c r="J5" i="2" s="1"/>
  <c r="K5" i="2" s="1"/>
  <c r="B4" i="2"/>
  <c r="C4" i="2" s="1"/>
  <c r="B92" i="1"/>
  <c r="D81" i="1"/>
  <c r="D82" i="1" s="1"/>
  <c r="D80" i="1"/>
  <c r="C80" i="1"/>
  <c r="B82" i="1"/>
  <c r="B81" i="1"/>
  <c r="B80" i="1"/>
  <c r="J69" i="1"/>
  <c r="F61" i="1"/>
  <c r="C61" i="1"/>
  <c r="B61" i="1"/>
  <c r="B46" i="1"/>
  <c r="H30" i="1"/>
  <c r="H61" i="1" s="1"/>
  <c r="G30" i="1"/>
  <c r="G61" i="1" s="1"/>
  <c r="F30" i="1"/>
  <c r="E30" i="1"/>
  <c r="E61" i="1" s="1"/>
  <c r="D30" i="1"/>
  <c r="D61" i="1" s="1"/>
  <c r="C30" i="1"/>
  <c r="B30" i="1"/>
  <c r="H29" i="1"/>
  <c r="H56" i="1" s="1"/>
  <c r="G29" i="1"/>
  <c r="G56" i="1" s="1"/>
  <c r="F29" i="1"/>
  <c r="F56" i="1" s="1"/>
  <c r="E29" i="1"/>
  <c r="E56" i="1" s="1"/>
  <c r="D29" i="1"/>
  <c r="D56" i="1" s="1"/>
  <c r="C29" i="1"/>
  <c r="C56" i="1" s="1"/>
  <c r="B29" i="1"/>
  <c r="B56" i="1" s="1"/>
  <c r="H28" i="1"/>
  <c r="H51" i="1" s="1"/>
  <c r="G28" i="1"/>
  <c r="G51" i="1" s="1"/>
  <c r="F28" i="1"/>
  <c r="F51" i="1" s="1"/>
  <c r="E28" i="1"/>
  <c r="E51" i="1" s="1"/>
  <c r="D28" i="1"/>
  <c r="D51" i="1" s="1"/>
  <c r="C28" i="1"/>
  <c r="C51" i="1" s="1"/>
  <c r="B28" i="1"/>
  <c r="B51" i="1" s="1"/>
  <c r="H27" i="1"/>
  <c r="H46" i="1" s="1"/>
  <c r="G27" i="1"/>
  <c r="G46" i="1" s="1"/>
  <c r="F27" i="1"/>
  <c r="F46" i="1" s="1"/>
  <c r="E27" i="1"/>
  <c r="E46" i="1" s="1"/>
  <c r="D27" i="1"/>
  <c r="D46" i="1" s="1"/>
  <c r="C27" i="1"/>
  <c r="C46" i="1" s="1"/>
  <c r="B27" i="1"/>
  <c r="H26" i="1"/>
  <c r="H41" i="1" s="1"/>
  <c r="G26" i="1"/>
  <c r="G41" i="1" s="1"/>
  <c r="F26" i="1"/>
  <c r="F41" i="1" s="1"/>
  <c r="E26" i="1"/>
  <c r="E41" i="1" s="1"/>
  <c r="D26" i="1"/>
  <c r="D41" i="1" s="1"/>
  <c r="C26" i="1"/>
  <c r="C41" i="1" s="1"/>
  <c r="B26" i="1"/>
  <c r="B41" i="1" s="1"/>
  <c r="I21" i="1"/>
  <c r="I30" i="1" s="1"/>
  <c r="I61" i="1" s="1"/>
  <c r="I20" i="1"/>
  <c r="I29" i="1" s="1"/>
  <c r="I56" i="1" s="1"/>
  <c r="I19" i="1"/>
  <c r="I28" i="1" s="1"/>
  <c r="I51" i="1" s="1"/>
  <c r="I18" i="1"/>
  <c r="I27" i="1" s="1"/>
  <c r="I46" i="1" s="1"/>
  <c r="I17" i="1"/>
  <c r="I26" i="1" s="1"/>
  <c r="I41" i="1" s="1"/>
  <c r="C81" i="1" l="1"/>
  <c r="B7" i="2"/>
  <c r="B17" i="2" s="1"/>
  <c r="C7" i="2"/>
  <c r="D4" i="2"/>
  <c r="B39" i="1"/>
  <c r="J41" i="1"/>
  <c r="B40" i="1"/>
  <c r="F39" i="1"/>
  <c r="C44" i="1"/>
  <c r="C45" i="1" s="1"/>
  <c r="G44" i="1"/>
  <c r="G45" i="1" s="1"/>
  <c r="C49" i="1"/>
  <c r="G49" i="1"/>
  <c r="G50" i="1" s="1"/>
  <c r="D59" i="1"/>
  <c r="D60" i="1" s="1"/>
  <c r="H60" i="1"/>
  <c r="H59" i="1"/>
  <c r="C39" i="1"/>
  <c r="G39" i="1"/>
  <c r="D45" i="1"/>
  <c r="D44" i="1"/>
  <c r="H44" i="1"/>
  <c r="H45" i="1" s="1"/>
  <c r="D49" i="1"/>
  <c r="D50" i="1" s="1"/>
  <c r="H49" i="1"/>
  <c r="H50" i="1" s="1"/>
  <c r="D54" i="1"/>
  <c r="D55" i="1" s="1"/>
  <c r="H54" i="1"/>
  <c r="H55" i="1" s="1"/>
  <c r="E59" i="1"/>
  <c r="E60" i="1" s="1"/>
  <c r="I54" i="1"/>
  <c r="I55" i="1" s="1"/>
  <c r="D39" i="1"/>
  <c r="H39" i="1"/>
  <c r="H40" i="1" s="1"/>
  <c r="E49" i="1"/>
  <c r="E50" i="1" s="1"/>
  <c r="I50" i="1"/>
  <c r="I49" i="1"/>
  <c r="E54" i="1"/>
  <c r="E55" i="1" s="1"/>
  <c r="G60" i="1"/>
  <c r="I39" i="1"/>
  <c r="I59" i="1"/>
  <c r="I60" i="1" s="1"/>
  <c r="E39" i="1"/>
  <c r="E40" i="1"/>
  <c r="B49" i="1"/>
  <c r="B50" i="1" s="1"/>
  <c r="J51" i="1"/>
  <c r="F49" i="1"/>
  <c r="F50" i="1" s="1"/>
  <c r="J56" i="1"/>
  <c r="B54" i="1"/>
  <c r="B55" i="1"/>
  <c r="F54" i="1"/>
  <c r="F55" i="1" s="1"/>
  <c r="J46" i="1"/>
  <c r="I44" i="1"/>
  <c r="I45" i="1" s="1"/>
  <c r="G54" i="1"/>
  <c r="G55" i="1" s="1"/>
  <c r="F59" i="1"/>
  <c r="F60" i="1" s="1"/>
  <c r="B44" i="1"/>
  <c r="B45" i="1" s="1"/>
  <c r="F44" i="1"/>
  <c r="C59" i="1"/>
  <c r="G59" i="1"/>
  <c r="J61" i="1"/>
  <c r="E44" i="1"/>
  <c r="E45" i="1" s="1"/>
  <c r="C54" i="1"/>
  <c r="B59" i="1"/>
  <c r="B60" i="1" s="1"/>
  <c r="B9" i="1"/>
  <c r="D8" i="1"/>
  <c r="E8" i="1" s="1"/>
  <c r="D7" i="1"/>
  <c r="E7" i="1" s="1"/>
  <c r="D6" i="1"/>
  <c r="E6" i="1" s="1"/>
  <c r="D5" i="1"/>
  <c r="E5" i="1" s="1"/>
  <c r="D4" i="1"/>
  <c r="E4" i="1" s="1"/>
  <c r="C82" i="1" l="1"/>
  <c r="J59" i="1"/>
  <c r="I63" i="1"/>
  <c r="B8" i="2"/>
  <c r="B9" i="2"/>
  <c r="B10" i="2" s="1"/>
  <c r="E4" i="2"/>
  <c r="D7" i="2"/>
  <c r="C17" i="2"/>
  <c r="C8" i="2"/>
  <c r="C9" i="2"/>
  <c r="J54" i="1"/>
  <c r="E64" i="1"/>
  <c r="E70" i="1" s="1"/>
  <c r="H64" i="1"/>
  <c r="H70" i="1" s="1"/>
  <c r="J44" i="1"/>
  <c r="F45" i="1"/>
  <c r="J45" i="1" s="1"/>
  <c r="E63" i="1"/>
  <c r="I40" i="1"/>
  <c r="I64" i="1" s="1"/>
  <c r="I70" i="1" s="1"/>
  <c r="D63" i="1"/>
  <c r="D65" i="1" s="1"/>
  <c r="C63" i="1"/>
  <c r="F63" i="1"/>
  <c r="D40" i="1"/>
  <c r="D64" i="1" s="1"/>
  <c r="D70" i="1" s="1"/>
  <c r="C55" i="1"/>
  <c r="J55" i="1" s="1"/>
  <c r="G63" i="1"/>
  <c r="C60" i="1"/>
  <c r="J60" i="1" s="1"/>
  <c r="J49" i="1"/>
  <c r="B64" i="1"/>
  <c r="H63" i="1"/>
  <c r="G40" i="1"/>
  <c r="G64" i="1" s="1"/>
  <c r="G70" i="1" s="1"/>
  <c r="C50" i="1"/>
  <c r="J50" i="1" s="1"/>
  <c r="C40" i="1"/>
  <c r="C64" i="1" s="1"/>
  <c r="C70" i="1" s="1"/>
  <c r="F40" i="1"/>
  <c r="J39" i="1"/>
  <c r="B63" i="1"/>
  <c r="D31" i="1"/>
  <c r="H31" i="1"/>
  <c r="I31" i="1"/>
  <c r="J27" i="1"/>
  <c r="E31" i="1"/>
  <c r="J29" i="1"/>
  <c r="J30" i="1"/>
  <c r="B31" i="1"/>
  <c r="F31" i="1"/>
  <c r="C119" i="1" s="1"/>
  <c r="C31" i="1"/>
  <c r="G31" i="1"/>
  <c r="J26" i="1"/>
  <c r="D9" i="1"/>
  <c r="E9" i="1"/>
  <c r="J28" i="1"/>
  <c r="B14" i="3" l="1"/>
  <c r="B119" i="1"/>
  <c r="G65" i="1"/>
  <c r="B13" i="2"/>
  <c r="B75" i="2"/>
  <c r="B15" i="2"/>
  <c r="B14" i="2"/>
  <c r="C10" i="2"/>
  <c r="B16" i="2"/>
  <c r="B20" i="2"/>
  <c r="C20" i="2" s="1"/>
  <c r="C15" i="2"/>
  <c r="D17" i="2"/>
  <c r="D9" i="2"/>
  <c r="D8" i="2"/>
  <c r="F4" i="2"/>
  <c r="E7" i="2"/>
  <c r="J63" i="1"/>
  <c r="B65" i="1"/>
  <c r="B70" i="1"/>
  <c r="C65" i="1"/>
  <c r="J40" i="1"/>
  <c r="F64" i="1"/>
  <c r="F70" i="1" s="1"/>
  <c r="H65" i="1"/>
  <c r="E65" i="1"/>
  <c r="I65" i="1"/>
  <c r="J31" i="1"/>
  <c r="C14" i="3" l="1"/>
  <c r="C8" i="4" s="1"/>
  <c r="B8" i="4"/>
  <c r="D119" i="1"/>
  <c r="B18" i="2"/>
  <c r="B76" i="2" s="1"/>
  <c r="B77" i="2" s="1"/>
  <c r="C13" i="2"/>
  <c r="C75" i="2"/>
  <c r="C14" i="2"/>
  <c r="C16" i="2"/>
  <c r="D10" i="2"/>
  <c r="E9" i="2"/>
  <c r="E17" i="2"/>
  <c r="E8" i="2"/>
  <c r="G4" i="2"/>
  <c r="F7" i="2"/>
  <c r="D20" i="2"/>
  <c r="J70" i="1"/>
  <c r="J71" i="1" s="1"/>
  <c r="B71" i="1"/>
  <c r="J64" i="1"/>
  <c r="J65" i="1" s="1"/>
  <c r="F65" i="1"/>
  <c r="C69" i="1" l="1"/>
  <c r="B72" i="1"/>
  <c r="B73" i="1" s="1"/>
  <c r="C18" i="2"/>
  <c r="C76" i="2" s="1"/>
  <c r="C77" i="2" s="1"/>
  <c r="D14" i="2"/>
  <c r="D75" i="2"/>
  <c r="B78" i="2"/>
  <c r="E10" i="2"/>
  <c r="E75" i="2" s="1"/>
  <c r="D15" i="2"/>
  <c r="D16" i="2"/>
  <c r="D13" i="2"/>
  <c r="E16" i="2"/>
  <c r="E13" i="2"/>
  <c r="E20" i="2"/>
  <c r="F9" i="2"/>
  <c r="F17" i="2"/>
  <c r="F8" i="2"/>
  <c r="H4" i="2"/>
  <c r="G7" i="2"/>
  <c r="E15" i="2" l="1"/>
  <c r="C71" i="1"/>
  <c r="D69" i="1" s="1"/>
  <c r="C72" i="1"/>
  <c r="C73" i="1" s="1"/>
  <c r="C78" i="2"/>
  <c r="E14" i="2"/>
  <c r="D18" i="2"/>
  <c r="D76" i="2" s="1"/>
  <c r="D77" i="2" s="1"/>
  <c r="F10" i="2"/>
  <c r="G17" i="2"/>
  <c r="G8" i="2"/>
  <c r="G9" i="2"/>
  <c r="F16" i="2"/>
  <c r="I4" i="2"/>
  <c r="H7" i="2"/>
  <c r="F20" i="2"/>
  <c r="D71" i="1" l="1"/>
  <c r="E69" i="1" s="1"/>
  <c r="D72" i="1"/>
  <c r="D73" i="1" s="1"/>
  <c r="E18" i="2"/>
  <c r="E76" i="2" s="1"/>
  <c r="E77" i="2" s="1"/>
  <c r="E78" i="2" s="1"/>
  <c r="D78" i="2"/>
  <c r="F13" i="2"/>
  <c r="F75" i="2"/>
  <c r="G10" i="2"/>
  <c r="G75" i="2" s="1"/>
  <c r="F15" i="2"/>
  <c r="F14" i="2"/>
  <c r="H17" i="2"/>
  <c r="H8" i="2"/>
  <c r="H9" i="2"/>
  <c r="J4" i="2"/>
  <c r="I7" i="2"/>
  <c r="G20" i="2"/>
  <c r="G16" i="2" l="1"/>
  <c r="G13" i="2"/>
  <c r="B11" i="3"/>
  <c r="E71" i="1"/>
  <c r="F69" i="1" s="1"/>
  <c r="E72" i="1"/>
  <c r="E73" i="1" s="1"/>
  <c r="B11" i="4"/>
  <c r="B13" i="4" s="1"/>
  <c r="G15" i="2"/>
  <c r="G14" i="2"/>
  <c r="H10" i="2"/>
  <c r="H16" i="2" s="1"/>
  <c r="F18" i="2"/>
  <c r="H20" i="2"/>
  <c r="I9" i="2"/>
  <c r="I17" i="2"/>
  <c r="I8" i="2"/>
  <c r="K4" i="2"/>
  <c r="K7" i="2" s="1"/>
  <c r="J7" i="2"/>
  <c r="G18" i="2"/>
  <c r="G76" i="2" s="1"/>
  <c r="G77" i="2" s="1"/>
  <c r="B7" i="4" l="1"/>
  <c r="B9" i="4" s="1"/>
  <c r="B14" i="4" s="1"/>
  <c r="B16" i="4" s="1"/>
  <c r="B13" i="3"/>
  <c r="B15" i="3" s="1"/>
  <c r="F71" i="1"/>
  <c r="G69" i="1" s="1"/>
  <c r="F72" i="1"/>
  <c r="F73" i="1" s="1"/>
  <c r="B120" i="1"/>
  <c r="F76" i="2"/>
  <c r="F77" i="2" s="1"/>
  <c r="G78" i="2"/>
  <c r="H13" i="2"/>
  <c r="H75" i="2"/>
  <c r="H14" i="2"/>
  <c r="H15" i="2"/>
  <c r="I10" i="2"/>
  <c r="J9" i="2"/>
  <c r="J17" i="2"/>
  <c r="J8" i="2"/>
  <c r="I20" i="2"/>
  <c r="K17" i="2"/>
  <c r="K8" i="2"/>
  <c r="K9" i="2"/>
  <c r="B121" i="1" l="1"/>
  <c r="G71" i="1"/>
  <c r="H69" i="1" s="1"/>
  <c r="G72" i="1"/>
  <c r="G73" i="1" s="1"/>
  <c r="B9" i="3"/>
  <c r="C15" i="4"/>
  <c r="H18" i="2"/>
  <c r="H76" i="2" s="1"/>
  <c r="H77" i="2" s="1"/>
  <c r="I16" i="2"/>
  <c r="I75" i="2"/>
  <c r="F78" i="2"/>
  <c r="I15" i="2"/>
  <c r="K10" i="2"/>
  <c r="K15" i="2" s="1"/>
  <c r="I13" i="2"/>
  <c r="I14" i="2"/>
  <c r="J10" i="2"/>
  <c r="K13" i="2"/>
  <c r="J20" i="2"/>
  <c r="H71" i="1" l="1"/>
  <c r="I69" i="1" s="1"/>
  <c r="H72" i="1"/>
  <c r="H73" i="1" s="1"/>
  <c r="B8" i="3"/>
  <c r="B60" i="2"/>
  <c r="B61" i="2" s="1"/>
  <c r="K16" i="2"/>
  <c r="K75" i="2"/>
  <c r="J14" i="2"/>
  <c r="J75" i="2"/>
  <c r="K14" i="2"/>
  <c r="H78" i="2"/>
  <c r="I18" i="2"/>
  <c r="I76" i="2" s="1"/>
  <c r="I77" i="2" s="1"/>
  <c r="J16" i="2"/>
  <c r="J13" i="2"/>
  <c r="J15" i="2"/>
  <c r="K18" i="2"/>
  <c r="K76" i="2" s="1"/>
  <c r="K20" i="2"/>
  <c r="B10" i="3" l="1"/>
  <c r="B16" i="3" s="1"/>
  <c r="I71" i="1"/>
  <c r="I72" i="1" s="1"/>
  <c r="I73" i="1" s="1"/>
  <c r="I78" i="2"/>
  <c r="K77" i="2"/>
  <c r="J18" i="2"/>
  <c r="J76" i="2" s="1"/>
  <c r="J77" i="2" s="1"/>
  <c r="J73" i="1" l="1"/>
  <c r="B10" i="1" s="1"/>
  <c r="C11" i="4"/>
  <c r="C13" i="4" s="1"/>
  <c r="C120" i="1"/>
  <c r="C11" i="3"/>
  <c r="K78" i="2"/>
  <c r="J78" i="2"/>
  <c r="C121" i="1" l="1"/>
  <c r="D120" i="1"/>
  <c r="D121" i="1" s="1"/>
  <c r="D11" i="3"/>
  <c r="C7" i="4"/>
  <c r="C9" i="4" s="1"/>
  <c r="C14" i="4" s="1"/>
  <c r="C16" i="4" s="1"/>
  <c r="C13" i="3"/>
  <c r="C15" i="3" s="1"/>
  <c r="E81" i="1"/>
  <c r="F81" i="1" s="1"/>
  <c r="C86" i="1" s="1"/>
  <c r="E80" i="1"/>
  <c r="B11" i="1"/>
  <c r="D10" i="1"/>
  <c r="D11" i="1" s="1"/>
  <c r="E10" i="1"/>
  <c r="E11" i="1" s="1"/>
  <c r="B35" i="2" s="1"/>
  <c r="D5" i="3" l="1"/>
  <c r="B69" i="2"/>
  <c r="C9" i="3"/>
  <c r="D15" i="4"/>
  <c r="E82" i="1"/>
  <c r="F80" i="1"/>
  <c r="E11" i="3"/>
  <c r="H36" i="2"/>
  <c r="K36" i="2"/>
  <c r="B36" i="2"/>
  <c r="G36" i="2"/>
  <c r="I36" i="2"/>
  <c r="D36" i="2"/>
  <c r="C36" i="2"/>
  <c r="E36" i="2"/>
  <c r="F36" i="2"/>
  <c r="J36" i="2"/>
  <c r="B37" i="2"/>
  <c r="C60" i="2"/>
  <c r="C61" i="2" s="1"/>
  <c r="C8" i="3"/>
  <c r="B38" i="2" l="1"/>
  <c r="B39" i="2" s="1"/>
  <c r="B22" i="2" s="1"/>
  <c r="B45" i="2" s="1"/>
  <c r="B48" i="2" s="1"/>
  <c r="D14" i="3"/>
  <c r="C35" i="2"/>
  <c r="D12" i="4"/>
  <c r="D13" i="4" s="1"/>
  <c r="B49" i="2"/>
  <c r="J49" i="2"/>
  <c r="L12" i="4"/>
  <c r="L13" i="4" s="1"/>
  <c r="K49" i="2"/>
  <c r="M12" i="4"/>
  <c r="M13" i="4" s="1"/>
  <c r="I49" i="2"/>
  <c r="K12" i="4"/>
  <c r="K13" i="4" s="1"/>
  <c r="E5" i="3"/>
  <c r="C49" i="2"/>
  <c r="E12" i="4"/>
  <c r="E13" i="4" s="1"/>
  <c r="F11" i="3"/>
  <c r="C10" i="3"/>
  <c r="C16" i="3" s="1"/>
  <c r="D49" i="2"/>
  <c r="F12" i="4"/>
  <c r="F13" i="4" s="1"/>
  <c r="C85" i="1"/>
  <c r="C87" i="1" s="1"/>
  <c r="F82" i="1"/>
  <c r="F49" i="2"/>
  <c r="H12" i="4"/>
  <c r="H13" i="4" s="1"/>
  <c r="H49" i="2"/>
  <c r="J12" i="4"/>
  <c r="J13" i="4" s="1"/>
  <c r="E49" i="2"/>
  <c r="G12" i="4"/>
  <c r="G13" i="4" s="1"/>
  <c r="G49" i="2"/>
  <c r="I12" i="4"/>
  <c r="I13" i="4" s="1"/>
  <c r="G11" i="3" l="1"/>
  <c r="C37" i="2"/>
  <c r="C38" i="2"/>
  <c r="C39" i="2" s="1"/>
  <c r="C22" i="2" s="1"/>
  <c r="C45" i="2" s="1"/>
  <c r="C48" i="2" s="1"/>
  <c r="C50" i="2" s="1"/>
  <c r="H21" i="2"/>
  <c r="D21" i="2"/>
  <c r="J21" i="2"/>
  <c r="B21" i="2"/>
  <c r="I21" i="2"/>
  <c r="K21" i="2"/>
  <c r="G21" i="2"/>
  <c r="C21" i="2"/>
  <c r="F21" i="2"/>
  <c r="E21" i="2"/>
  <c r="F5" i="3"/>
  <c r="B50" i="2"/>
  <c r="G5" i="3" l="1"/>
  <c r="E6" i="4"/>
  <c r="C46" i="2"/>
  <c r="C23" i="2"/>
  <c r="D6" i="4"/>
  <c r="D6" i="3"/>
  <c r="B46" i="2"/>
  <c r="B23" i="2"/>
  <c r="M59" i="2"/>
  <c r="J46" i="2"/>
  <c r="L6" i="4"/>
  <c r="I6" i="4"/>
  <c r="G46" i="2"/>
  <c r="D35" i="2"/>
  <c r="E14" i="3"/>
  <c r="E46" i="2"/>
  <c r="G6" i="4"/>
  <c r="M6" i="4"/>
  <c r="K46" i="2"/>
  <c r="D46" i="2"/>
  <c r="F6" i="4"/>
  <c r="F46" i="2"/>
  <c r="H6" i="4"/>
  <c r="K6" i="4"/>
  <c r="I46" i="2"/>
  <c r="H46" i="2"/>
  <c r="J6" i="4"/>
  <c r="H11" i="3"/>
  <c r="H5" i="3" l="1"/>
  <c r="E6" i="3"/>
  <c r="D7" i="3"/>
  <c r="I11" i="3"/>
  <c r="D37" i="2"/>
  <c r="D38" i="2"/>
  <c r="D39" i="2" s="1"/>
  <c r="D22" i="2" s="1"/>
  <c r="B83" i="2"/>
  <c r="B84" i="2" s="1"/>
  <c r="B85" i="2" s="1"/>
  <c r="B79" i="2"/>
  <c r="B24" i="2"/>
  <c r="B25" i="2" s="1"/>
  <c r="B26" i="2" s="1"/>
  <c r="B27" i="2" s="1"/>
  <c r="C24" i="2"/>
  <c r="C25" i="2" s="1"/>
  <c r="C26" i="2" s="1"/>
  <c r="C27" i="2" s="1"/>
  <c r="C83" i="2"/>
  <c r="C84" i="2" s="1"/>
  <c r="C85" i="2" s="1"/>
  <c r="C79" i="2"/>
  <c r="E5" i="4" l="1"/>
  <c r="E9" i="4" s="1"/>
  <c r="E14" i="4" s="1"/>
  <c r="C44" i="2"/>
  <c r="C47" i="2" s="1"/>
  <c r="B44" i="2"/>
  <c r="B47" i="2" s="1"/>
  <c r="D12" i="3"/>
  <c r="D5" i="4"/>
  <c r="D9" i="4" s="1"/>
  <c r="D14" i="4" s="1"/>
  <c r="D16" i="4" s="1"/>
  <c r="E35" i="2"/>
  <c r="F14" i="3"/>
  <c r="B80" i="2"/>
  <c r="B81" i="2"/>
  <c r="B82" i="2" s="1"/>
  <c r="D45" i="2"/>
  <c r="D48" i="2" s="1"/>
  <c r="D50" i="2" s="1"/>
  <c r="D23" i="2"/>
  <c r="F6" i="3"/>
  <c r="E7" i="3"/>
  <c r="C81" i="2"/>
  <c r="C82" i="2" s="1"/>
  <c r="C80" i="2"/>
  <c r="J11" i="3"/>
  <c r="I5" i="3"/>
  <c r="G6" i="3" l="1"/>
  <c r="F7" i="3"/>
  <c r="E12" i="3"/>
  <c r="D13" i="3"/>
  <c r="D15" i="3" s="1"/>
  <c r="D16" i="3" s="1"/>
  <c r="J5" i="3"/>
  <c r="E37" i="2"/>
  <c r="E38" i="2"/>
  <c r="E39" i="2" s="1"/>
  <c r="E22" i="2" s="1"/>
  <c r="E58" i="2"/>
  <c r="E61" i="2" s="1"/>
  <c r="C51" i="2"/>
  <c r="C67" i="2"/>
  <c r="K11" i="3"/>
  <c r="D24" i="2"/>
  <c r="D25" i="2" s="1"/>
  <c r="D26" i="2" s="1"/>
  <c r="D27" i="2" s="1"/>
  <c r="D79" i="2"/>
  <c r="D83" i="2"/>
  <c r="D84" i="2" s="1"/>
  <c r="D85" i="2" s="1"/>
  <c r="B51" i="2"/>
  <c r="D58" i="2"/>
  <c r="D61" i="2" s="1"/>
  <c r="B67" i="2"/>
  <c r="E15" i="4"/>
  <c r="D9" i="3"/>
  <c r="D10" i="3" s="1"/>
  <c r="E16" i="4"/>
  <c r="E45" i="2" l="1"/>
  <c r="E48" i="2" s="1"/>
  <c r="E50" i="2" s="1"/>
  <c r="E23" i="2"/>
  <c r="E9" i="3"/>
  <c r="E10" i="3" s="1"/>
  <c r="F15" i="4"/>
  <c r="F16" i="4" s="1"/>
  <c r="D81" i="2"/>
  <c r="D82" i="2" s="1"/>
  <c r="D80" i="2"/>
  <c r="F35" i="2"/>
  <c r="G14" i="3"/>
  <c r="D44" i="2"/>
  <c r="D47" i="2" s="1"/>
  <c r="F5" i="4"/>
  <c r="F9" i="4" s="1"/>
  <c r="F14" i="4" s="1"/>
  <c r="L11" i="3"/>
  <c r="F12" i="3"/>
  <c r="E13" i="3"/>
  <c r="E15" i="3" s="1"/>
  <c r="K5" i="3"/>
  <c r="H6" i="3"/>
  <c r="G7" i="3"/>
  <c r="L5" i="3" l="1"/>
  <c r="F9" i="3"/>
  <c r="F10" i="3" s="1"/>
  <c r="G15" i="4"/>
  <c r="E16" i="3"/>
  <c r="M11" i="3"/>
  <c r="F37" i="2"/>
  <c r="E79" i="2"/>
  <c r="E24" i="2"/>
  <c r="E25" i="2" s="1"/>
  <c r="E26" i="2" s="1"/>
  <c r="E27" i="2" s="1"/>
  <c r="G12" i="3" s="1"/>
  <c r="E83" i="2"/>
  <c r="E84" i="2" s="1"/>
  <c r="E85" i="2" s="1"/>
  <c r="I6" i="3"/>
  <c r="H7" i="3"/>
  <c r="F13" i="3"/>
  <c r="F15" i="3" s="1"/>
  <c r="D51" i="2"/>
  <c r="F58" i="2"/>
  <c r="F61" i="2" s="1"/>
  <c r="D67" i="2"/>
  <c r="G13" i="3" l="1"/>
  <c r="G15" i="3" s="1"/>
  <c r="F16" i="3"/>
  <c r="G35" i="2"/>
  <c r="H14" i="3"/>
  <c r="G5" i="4"/>
  <c r="G9" i="4" s="1"/>
  <c r="G14" i="4" s="1"/>
  <c r="G16" i="4" s="1"/>
  <c r="E44" i="2"/>
  <c r="E47" i="2" s="1"/>
  <c r="E80" i="2"/>
  <c r="E81" i="2"/>
  <c r="E82" i="2" s="1"/>
  <c r="J6" i="3"/>
  <c r="I7" i="3"/>
  <c r="F38" i="2"/>
  <c r="F39" i="2" s="1"/>
  <c r="F22" i="2" s="1"/>
  <c r="M5" i="3"/>
  <c r="H15" i="4" l="1"/>
  <c r="G9" i="3"/>
  <c r="G10" i="3" s="1"/>
  <c r="G58" i="2"/>
  <c r="G61" i="2" s="1"/>
  <c r="E67" i="2"/>
  <c r="E51" i="2"/>
  <c r="K6" i="3"/>
  <c r="J7" i="3"/>
  <c r="G16" i="3"/>
  <c r="F45" i="2"/>
  <c r="F48" i="2" s="1"/>
  <c r="F50" i="2" s="1"/>
  <c r="F23" i="2"/>
  <c r="G37" i="2"/>
  <c r="G38" i="2"/>
  <c r="G39" i="2" s="1"/>
  <c r="G22" i="2" s="1"/>
  <c r="F79" i="2" l="1"/>
  <c r="F24" i="2"/>
  <c r="F25" i="2" s="1"/>
  <c r="F26" i="2" s="1"/>
  <c r="F27" i="2" s="1"/>
  <c r="F83" i="2"/>
  <c r="F84" i="2" s="1"/>
  <c r="F85" i="2" s="1"/>
  <c r="L6" i="3"/>
  <c r="K7" i="3"/>
  <c r="G45" i="2"/>
  <c r="G48" i="2" s="1"/>
  <c r="G50" i="2" s="1"/>
  <c r="G23" i="2"/>
  <c r="H35" i="2"/>
  <c r="I14" i="3"/>
  <c r="H37" i="2" l="1"/>
  <c r="H38" i="2"/>
  <c r="H39" i="2" s="1"/>
  <c r="H22" i="2" s="1"/>
  <c r="G83" i="2"/>
  <c r="G84" i="2" s="1"/>
  <c r="G85" i="2" s="1"/>
  <c r="G79" i="2"/>
  <c r="G24" i="2"/>
  <c r="G25" i="2" s="1"/>
  <c r="G26" i="2" s="1"/>
  <c r="G27" i="2" s="1"/>
  <c r="M6" i="3"/>
  <c r="M7" i="3" s="1"/>
  <c r="L7" i="3"/>
  <c r="F44" i="2"/>
  <c r="F47" i="2" s="1"/>
  <c r="H5" i="4"/>
  <c r="H9" i="4" s="1"/>
  <c r="H14" i="4" s="1"/>
  <c r="H16" i="4" s="1"/>
  <c r="H12" i="3"/>
  <c r="F80" i="2"/>
  <c r="F81" i="2"/>
  <c r="F82" i="2" s="1"/>
  <c r="H58" i="2" l="1"/>
  <c r="H61" i="2" s="1"/>
  <c r="F51" i="2"/>
  <c r="F67" i="2"/>
  <c r="G80" i="2"/>
  <c r="G81" i="2"/>
  <c r="G82" i="2" s="1"/>
  <c r="I12" i="3"/>
  <c r="H13" i="3"/>
  <c r="H15" i="3" s="1"/>
  <c r="H45" i="2"/>
  <c r="H48" i="2" s="1"/>
  <c r="H50" i="2" s="1"/>
  <c r="H23" i="2"/>
  <c r="I15" i="4"/>
  <c r="I16" i="4" s="1"/>
  <c r="H9" i="3"/>
  <c r="H10" i="3" s="1"/>
  <c r="H16" i="3" s="1"/>
  <c r="G44" i="2"/>
  <c r="G47" i="2" s="1"/>
  <c r="I5" i="4"/>
  <c r="I9" i="4" s="1"/>
  <c r="I14" i="4" s="1"/>
  <c r="I35" i="2"/>
  <c r="J14" i="3"/>
  <c r="J15" i="4" l="1"/>
  <c r="I9" i="3"/>
  <c r="I10" i="3" s="1"/>
  <c r="I37" i="2"/>
  <c r="I38" i="2"/>
  <c r="I39" i="2" s="1"/>
  <c r="I22" i="2" s="1"/>
  <c r="I13" i="3"/>
  <c r="I15" i="3" s="1"/>
  <c r="H79" i="2"/>
  <c r="H24" i="2"/>
  <c r="H25" i="2" s="1"/>
  <c r="H26" i="2" s="1"/>
  <c r="H27" i="2" s="1"/>
  <c r="H83" i="2"/>
  <c r="H84" i="2" s="1"/>
  <c r="H85" i="2" s="1"/>
  <c r="G51" i="2"/>
  <c r="G67" i="2"/>
  <c r="I58" i="2"/>
  <c r="I61" i="2" s="1"/>
  <c r="I45" i="2" l="1"/>
  <c r="I48" i="2" s="1"/>
  <c r="I50" i="2" s="1"/>
  <c r="I23" i="2"/>
  <c r="J35" i="2"/>
  <c r="K14" i="3"/>
  <c r="H44" i="2"/>
  <c r="H47" i="2" s="1"/>
  <c r="J5" i="4"/>
  <c r="J9" i="4" s="1"/>
  <c r="J14" i="4" s="1"/>
  <c r="H80" i="2"/>
  <c r="H81" i="2"/>
  <c r="H82" i="2" s="1"/>
  <c r="I16" i="3"/>
  <c r="J12" i="3"/>
  <c r="J16" i="4"/>
  <c r="K15" i="4" l="1"/>
  <c r="J9" i="3"/>
  <c r="J10" i="3" s="1"/>
  <c r="J37" i="2"/>
  <c r="J38" i="2"/>
  <c r="J39" i="2" s="1"/>
  <c r="J22" i="2" s="1"/>
  <c r="J13" i="3"/>
  <c r="J15" i="3" s="1"/>
  <c r="I79" i="2"/>
  <c r="I83" i="2"/>
  <c r="I84" i="2" s="1"/>
  <c r="I85" i="2" s="1"/>
  <c r="I24" i="2"/>
  <c r="I25" i="2" s="1"/>
  <c r="I26" i="2" s="1"/>
  <c r="I27" i="2" s="1"/>
  <c r="H67" i="2"/>
  <c r="J58" i="2"/>
  <c r="J61" i="2" s="1"/>
  <c r="H51" i="2"/>
  <c r="I81" i="2" l="1"/>
  <c r="I82" i="2" s="1"/>
  <c r="I80" i="2"/>
  <c r="J16" i="3"/>
  <c r="J45" i="2"/>
  <c r="J48" i="2" s="1"/>
  <c r="J50" i="2" s="1"/>
  <c r="J23" i="2"/>
  <c r="K35" i="2"/>
  <c r="K37" i="2" s="1"/>
  <c r="L14" i="3"/>
  <c r="K5" i="4"/>
  <c r="K9" i="4" s="1"/>
  <c r="K14" i="4" s="1"/>
  <c r="K16" i="4" s="1"/>
  <c r="I44" i="2"/>
  <c r="I47" i="2" s="1"/>
  <c r="K12" i="3"/>
  <c r="K9" i="3" l="1"/>
  <c r="K10" i="3" s="1"/>
  <c r="L15" i="4"/>
  <c r="K13" i="3"/>
  <c r="K15" i="3" s="1"/>
  <c r="K16" i="3" s="1"/>
  <c r="K38" i="2"/>
  <c r="K39" i="2" s="1"/>
  <c r="K22" i="2" s="1"/>
  <c r="M14" i="3"/>
  <c r="I67" i="2"/>
  <c r="K58" i="2"/>
  <c r="K61" i="2" s="1"/>
  <c r="I51" i="2"/>
  <c r="J83" i="2"/>
  <c r="J84" i="2" s="1"/>
  <c r="J85" i="2" s="1"/>
  <c r="J79" i="2"/>
  <c r="J24" i="2"/>
  <c r="J25" i="2" s="1"/>
  <c r="J26" i="2" s="1"/>
  <c r="J27" i="2" s="1"/>
  <c r="J44" i="2" l="1"/>
  <c r="J47" i="2" s="1"/>
  <c r="L5" i="4"/>
  <c r="L9" i="4" s="1"/>
  <c r="L14" i="4" s="1"/>
  <c r="L12" i="3"/>
  <c r="J80" i="2"/>
  <c r="J81" i="2"/>
  <c r="J82" i="2" s="1"/>
  <c r="L16" i="4"/>
  <c r="K45" i="2"/>
  <c r="K48" i="2" s="1"/>
  <c r="K50" i="2" s="1"/>
  <c r="K23" i="2"/>
  <c r="K24" i="2" l="1"/>
  <c r="K25" i="2" s="1"/>
  <c r="K26" i="2" s="1"/>
  <c r="K27" i="2" s="1"/>
  <c r="K83" i="2"/>
  <c r="K84" i="2" s="1"/>
  <c r="K85" i="2" s="1"/>
  <c r="K79" i="2"/>
  <c r="M12" i="3"/>
  <c r="M13" i="3" s="1"/>
  <c r="M15" i="3" s="1"/>
  <c r="L13" i="3"/>
  <c r="L15" i="3" s="1"/>
  <c r="M15" i="4"/>
  <c r="L9" i="3"/>
  <c r="L10" i="3" s="1"/>
  <c r="L16" i="3" s="1"/>
  <c r="L58" i="2"/>
  <c r="L61" i="2" s="1"/>
  <c r="J67" i="2"/>
  <c r="J51" i="2"/>
  <c r="K81" i="2" l="1"/>
  <c r="K82" i="2" s="1"/>
  <c r="K80" i="2"/>
  <c r="M16" i="4"/>
  <c r="M9" i="3" s="1"/>
  <c r="M10" i="3" s="1"/>
  <c r="M16" i="3" s="1"/>
  <c r="K44" i="2"/>
  <c r="K47" i="2" s="1"/>
  <c r="M5" i="4"/>
  <c r="M9" i="4" s="1"/>
  <c r="M14" i="4" s="1"/>
  <c r="M58" i="2" l="1"/>
  <c r="M61" i="2" s="1"/>
  <c r="B62" i="2" s="1"/>
  <c r="K67" i="2"/>
  <c r="B68" i="2" s="1"/>
  <c r="B70" i="2" s="1"/>
  <c r="K51" i="2"/>
  <c r="B52" i="2"/>
</calcChain>
</file>

<file path=xl/sharedStrings.xml><?xml version="1.0" encoding="utf-8"?>
<sst xmlns="http://schemas.openxmlformats.org/spreadsheetml/2006/main" count="340" uniqueCount="162">
  <si>
    <t>Particulars</t>
  </si>
  <si>
    <t>Total Cost</t>
  </si>
  <si>
    <t>Margin Requirement</t>
  </si>
  <si>
    <t>Promoter's Contribution</t>
  </si>
  <si>
    <t>Bank Finance</t>
  </si>
  <si>
    <t>Amount in Rs. in Crores / Proportion in %age</t>
  </si>
  <si>
    <t>Cost of Land [already acquired by the Company]</t>
  </si>
  <si>
    <t>Cost of Approvals / Premiums &amp; Regulatory Costs</t>
  </si>
  <si>
    <t>Cost of Construction of the Hotel Building</t>
  </si>
  <si>
    <t>Cost of Interiors &amp; Kitchen Equipments</t>
  </si>
  <si>
    <t>Contingency Margin</t>
  </si>
  <si>
    <t>Total Project Cost</t>
  </si>
  <si>
    <t>Core Project Cost [A]</t>
  </si>
  <si>
    <t>Interest During Construction [B]</t>
  </si>
  <si>
    <t>Total Project Cost [A+B]</t>
  </si>
  <si>
    <t>2024-25</t>
  </si>
  <si>
    <t>2025-26</t>
  </si>
  <si>
    <t>Q I</t>
  </si>
  <si>
    <t>Q II</t>
  </si>
  <si>
    <t>Q III</t>
  </si>
  <si>
    <t>Q IV</t>
  </si>
  <si>
    <t>Cost Phasing in %age</t>
  </si>
  <si>
    <t>Total</t>
  </si>
  <si>
    <t xml:space="preserve">Cost Incurred in Rs. </t>
  </si>
  <si>
    <t>Total Cost Incurred</t>
  </si>
  <si>
    <t>Term Loan Draw-Down &amp; Promoters Margin requriement</t>
  </si>
  <si>
    <t>Promoter's Funding</t>
  </si>
  <si>
    <t>Total Cost of Land</t>
  </si>
  <si>
    <t>Total Cost of Approvals / Premiums &amp; Regulatory Costs</t>
  </si>
  <si>
    <t>Total Cost of Construction of the Hotel Building</t>
  </si>
  <si>
    <t>Total Cost of Interiors &amp; Kitchen Equipments</t>
  </si>
  <si>
    <t>Total Contingency Margin</t>
  </si>
  <si>
    <t>Total Promoters Contribution</t>
  </si>
  <si>
    <t>Total Bank Finance</t>
  </si>
  <si>
    <t>Term Loan Draw-Down Schedule</t>
  </si>
  <si>
    <t>Opening Balance</t>
  </si>
  <si>
    <t>[+] Draw Down</t>
  </si>
  <si>
    <t>Closing Balance</t>
  </si>
  <si>
    <t>Rate of Interest in Term Loan</t>
  </si>
  <si>
    <t>Average Balance</t>
  </si>
  <si>
    <t>Interest During Construction</t>
  </si>
  <si>
    <t>Name of the Main Item of the Project Cost</t>
  </si>
  <si>
    <t>Base Cost</t>
  </si>
  <si>
    <t>Cost of Approvals</t>
  </si>
  <si>
    <t>All Amounts in Rs. in Crores</t>
  </si>
  <si>
    <t>Cost of Hotel Building</t>
  </si>
  <si>
    <t>Cost of Kitchen Equipment &amp; Machinery</t>
  </si>
  <si>
    <t>IDC</t>
  </si>
  <si>
    <t>Useful Life Assumed for Charging Depreciation:</t>
  </si>
  <si>
    <t>Factory Building</t>
  </si>
  <si>
    <t>Kitchen Equipment &amp; Machinery</t>
  </si>
  <si>
    <t>2026-27</t>
  </si>
  <si>
    <t>2027-28</t>
  </si>
  <si>
    <t>2028-29</t>
  </si>
  <si>
    <t>2029-30</t>
  </si>
  <si>
    <t>2030-31</t>
  </si>
  <si>
    <t>2031-32</t>
  </si>
  <si>
    <t>2032-33</t>
  </si>
  <si>
    <t>2033-34</t>
  </si>
  <si>
    <t>2034-35</t>
  </si>
  <si>
    <t>2035-36</t>
  </si>
  <si>
    <t>All Amount in Rs. in Crores</t>
  </si>
  <si>
    <t>Total Revenues during the Year:</t>
  </si>
  <si>
    <t>Room revenues</t>
  </si>
  <si>
    <t>Food &amp; Beverages</t>
  </si>
  <si>
    <t>Other Sources</t>
  </si>
  <si>
    <t>Total Revenues during the Year [A]</t>
  </si>
  <si>
    <t>Proportion in Revenue Stream:</t>
  </si>
  <si>
    <t>Room Revenue</t>
  </si>
  <si>
    <t>Food &amp; Beverage</t>
  </si>
  <si>
    <t>Others</t>
  </si>
  <si>
    <t>Total Number of Rooms</t>
  </si>
  <si>
    <t>Number of Days in a Year for which the room may be offered</t>
  </si>
  <si>
    <t>Occupancy in %age</t>
  </si>
  <si>
    <t>Yearly Increase in Occupancy</t>
  </si>
  <si>
    <t>Occupancy Assumed</t>
  </si>
  <si>
    <t>Tariff Charged per room per day</t>
  </si>
  <si>
    <t>Room Tariff per day</t>
  </si>
  <si>
    <t>Annual Increase in Room Tariff</t>
  </si>
  <si>
    <t>Total Expenditure for the Year:</t>
  </si>
  <si>
    <t>Composition of Expenses:</t>
  </si>
  <si>
    <t>Food &amp; Beverages Consumables</t>
  </si>
  <si>
    <t>Employee Costs</t>
  </si>
  <si>
    <t>Power &amp; Fuel</t>
  </si>
  <si>
    <t>Other Variable Expenses</t>
  </si>
  <si>
    <t>Service Fees to Mariott [Room revenue]</t>
  </si>
  <si>
    <t>Fixed Expenses:</t>
  </si>
  <si>
    <t>Administrative &amp; Selling Expenses</t>
  </si>
  <si>
    <t xml:space="preserve">Annual Increase </t>
  </si>
  <si>
    <t>Variable Expenses:</t>
  </si>
  <si>
    <t>Total Variable Expenses [B]</t>
  </si>
  <si>
    <t>Depreciation</t>
  </si>
  <si>
    <t>Interest on Term Loan</t>
  </si>
  <si>
    <t>Total Fixed Expenses [C]</t>
  </si>
  <si>
    <t>Total Expenditure for the Year [D=B+C]</t>
  </si>
  <si>
    <t>Net Profit Before Tax [E=A-D]</t>
  </si>
  <si>
    <t xml:space="preserve">[-] Tax </t>
  </si>
  <si>
    <t xml:space="preserve">Net Profit After Tax </t>
  </si>
  <si>
    <t>Depreciation Per Year</t>
  </si>
  <si>
    <t>Term Loan Repayment Schedule</t>
  </si>
  <si>
    <t>[-] Repayment</t>
  </si>
  <si>
    <t>Repayment for the Year in %age</t>
  </si>
  <si>
    <t>Corporate Income tax</t>
  </si>
  <si>
    <t>Debt Service Coverage Ratio</t>
  </si>
  <si>
    <t>[+] Interest Payment During the Year</t>
  </si>
  <si>
    <t>[+] Principal Repayment during the year</t>
  </si>
  <si>
    <t>Total Cash-flow available for servicing the debt</t>
  </si>
  <si>
    <t>Interest Payment During the Year</t>
  </si>
  <si>
    <t>Total Debt repayment during the Year</t>
  </si>
  <si>
    <t>Debt Service Coverage Ratio [in times]</t>
  </si>
  <si>
    <t>Average DSCR [in times]</t>
  </si>
  <si>
    <t>Net Profit After tax</t>
  </si>
  <si>
    <t>Internal Rate of Return</t>
  </si>
  <si>
    <t>[+] Depreciation for the year</t>
  </si>
  <si>
    <t xml:space="preserve">Cash-Flow After Tax </t>
  </si>
  <si>
    <t>[+] Terminal Value of Fixed Assets</t>
  </si>
  <si>
    <t>Project Cash Outflow</t>
  </si>
  <si>
    <t xml:space="preserve">Total Cash Out-Flow </t>
  </si>
  <si>
    <t>Total Cost incurred in Rs. in Crores</t>
  </si>
  <si>
    <t>Interest During Construction in Rs. in Crores</t>
  </si>
  <si>
    <t>Total Cost incurred during the year in Rs. in Crores</t>
  </si>
  <si>
    <t xml:space="preserve">Total Cash-Flows </t>
  </si>
  <si>
    <t>Cost of Project</t>
  </si>
  <si>
    <t>Average Cash-Flows</t>
  </si>
  <si>
    <t>Simple Pay-Back Period</t>
  </si>
  <si>
    <t>Pay-Back Period</t>
  </si>
  <si>
    <t>Break-Even Point</t>
  </si>
  <si>
    <t>Total Sales [A]</t>
  </si>
  <si>
    <t>[-] Variable Cost [B]</t>
  </si>
  <si>
    <t>Contribution [C=A-B]</t>
  </si>
  <si>
    <t>Profit Volume Ratio [D=C/A]</t>
  </si>
  <si>
    <t>Fixed Costs [E]</t>
  </si>
  <si>
    <t>Break-Even Point [E/D]</t>
  </si>
  <si>
    <t>BEP as a %age of Sales</t>
  </si>
  <si>
    <t>Fixed Costs excluding Depreciation</t>
  </si>
  <si>
    <t>Cash-Break Even Point</t>
  </si>
  <si>
    <t>Cash Break Even Point as %age of sales</t>
  </si>
  <si>
    <t>Net Profit Before Tax [F=C-E]</t>
  </si>
  <si>
    <t>Assets:</t>
  </si>
  <si>
    <t>Gross Block</t>
  </si>
  <si>
    <t>[-] Accumulated Depreciation</t>
  </si>
  <si>
    <t>Net Block</t>
  </si>
  <si>
    <t>Capital Work in Progress</t>
  </si>
  <si>
    <t>Cash &amp; Bank Balance</t>
  </si>
  <si>
    <t>Total Assets</t>
  </si>
  <si>
    <t>Core Equity Capital</t>
  </si>
  <si>
    <t>[+] Reserves &amp; Surplus</t>
  </si>
  <si>
    <t>Net Worth</t>
  </si>
  <si>
    <t>Bank Loan</t>
  </si>
  <si>
    <t>Total Liabilities</t>
  </si>
  <si>
    <t>Difference</t>
  </si>
  <si>
    <t>Sources of Finance:</t>
  </si>
  <si>
    <t>Net Profit After Tax</t>
  </si>
  <si>
    <t>[+] Depreciation</t>
  </si>
  <si>
    <t>[+] Capital Infusion</t>
  </si>
  <si>
    <t>[+] Debt Capital Raised</t>
  </si>
  <si>
    <t>Fixed Assets Purchased</t>
  </si>
  <si>
    <t>Term Loan Repaid</t>
  </si>
  <si>
    <t>Use of Funds:</t>
  </si>
  <si>
    <t>Total Funds Infused [A]</t>
  </si>
  <si>
    <t>Total Out-Flow [B]</t>
  </si>
  <si>
    <t>Surplus [A-B]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</si>
</sst>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3" formatCode="_ * #,##0.00_ ;_ * \-#,##0.00_ ;_ * &quot;-&quot;??_ ;_ @_ "/>
    <numFmt numFmtId="164" formatCode="_ * #,##0_ ;_ * \-#,##0_ ;_ * &quot;-&quot;??_ ;_ @_ "/>
  </numFmts>
  <fonts count="5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color theme="1"/>
      <name val="Tahoma"/>
      <family val="2"/>
    </font>
    <font>
      <b/>
      <sz val="10"/>
      <color theme="1"/>
      <name val="Tahoma"/>
      <family val="2"/>
    </font>
    <font>
      <b/>
      <u/>
      <sz val="10"/>
      <color theme="1"/>
      <name val="Tahoma"/>
      <family val="2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</borders>
  <cellStyleXfs count="3">
    <xf numFmtId="0" fontId="0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</cellStyleXfs>
  <cellXfs count="35">
    <xf numFmtId="0" fontId="0" fillId="0" borderId="0" xfId="0"/>
    <xf numFmtId="0" fontId="2" fillId="0" borderId="0" xfId="0" applyFont="1"/>
    <xf numFmtId="0" fontId="3" fillId="0" borderId="0" xfId="0" applyFont="1" applyAlignment="1">
      <alignment horizontal="center" wrapText="1"/>
    </xf>
    <xf numFmtId="9" fontId="2" fillId="0" borderId="0" xfId="0" applyNumberFormat="1" applyFont="1"/>
    <xf numFmtId="0" fontId="3" fillId="0" borderId="0" xfId="0" applyFont="1"/>
    <xf numFmtId="0" fontId="3" fillId="0" borderId="1" xfId="0" applyFont="1" applyBorder="1" applyAlignment="1">
      <alignment horizontal="center" wrapText="1"/>
    </xf>
    <xf numFmtId="0" fontId="2" fillId="0" borderId="1" xfId="0" applyFont="1" applyBorder="1"/>
    <xf numFmtId="43" fontId="2" fillId="0" borderId="1" xfId="1" applyFont="1" applyBorder="1"/>
    <xf numFmtId="43" fontId="2" fillId="0" borderId="1" xfId="0" applyNumberFormat="1" applyFont="1" applyBorder="1"/>
    <xf numFmtId="0" fontId="3" fillId="0" borderId="1" xfId="0" applyFont="1" applyBorder="1"/>
    <xf numFmtId="43" fontId="3" fillId="0" borderId="1" xfId="1" applyFont="1" applyBorder="1"/>
    <xf numFmtId="43" fontId="3" fillId="0" borderId="1" xfId="0" applyNumberFormat="1" applyFont="1" applyBorder="1"/>
    <xf numFmtId="0" fontId="3" fillId="0" borderId="1" xfId="0" applyFont="1" applyBorder="1" applyAlignment="1">
      <alignment horizontal="center"/>
    </xf>
    <xf numFmtId="10" fontId="2" fillId="0" borderId="1" xfId="0" applyNumberFormat="1" applyFont="1" applyBorder="1" applyAlignment="1">
      <alignment horizontal="center"/>
    </xf>
    <xf numFmtId="0" fontId="3" fillId="0" borderId="1" xfId="0" applyFont="1" applyBorder="1" applyAlignment="1">
      <alignment horizontal="center" vertical="center"/>
    </xf>
    <xf numFmtId="0" fontId="3" fillId="0" borderId="1" xfId="0" applyFont="1" applyBorder="1" applyAlignment="1">
      <alignment horizontal="center" vertical="center" wrapText="1"/>
    </xf>
    <xf numFmtId="10" fontId="2" fillId="0" borderId="1" xfId="0" applyNumberFormat="1" applyFont="1" applyBorder="1"/>
    <xf numFmtId="10" fontId="3" fillId="0" borderId="1" xfId="0" applyNumberFormat="1" applyFont="1" applyBorder="1"/>
    <xf numFmtId="43" fontId="3" fillId="2" borderId="1" xfId="1" applyFont="1" applyFill="1" applyBorder="1"/>
    <xf numFmtId="0" fontId="3" fillId="2" borderId="2" xfId="0" applyFont="1" applyFill="1" applyBorder="1"/>
    <xf numFmtId="0" fontId="4" fillId="0" borderId="0" xfId="0" applyFont="1"/>
    <xf numFmtId="0" fontId="4" fillId="0" borderId="1" xfId="0" applyFont="1" applyBorder="1"/>
    <xf numFmtId="0" fontId="3" fillId="0" borderId="0" xfId="0" applyFont="1" applyAlignment="1">
      <alignment horizontal="center"/>
    </xf>
    <xf numFmtId="43" fontId="2" fillId="0" borderId="0" xfId="1" applyFont="1"/>
    <xf numFmtId="10" fontId="2" fillId="0" borderId="1" xfId="2" applyNumberFormat="1" applyFont="1" applyBorder="1"/>
    <xf numFmtId="10" fontId="3" fillId="0" borderId="1" xfId="2" applyNumberFormat="1" applyFont="1" applyBorder="1"/>
    <xf numFmtId="10" fontId="2" fillId="0" borderId="0" xfId="0" applyNumberFormat="1" applyFont="1"/>
    <xf numFmtId="164" fontId="2" fillId="0" borderId="0" xfId="1" applyNumberFormat="1" applyFont="1"/>
    <xf numFmtId="43" fontId="2" fillId="0" borderId="0" xfId="0" applyNumberFormat="1" applyFont="1"/>
    <xf numFmtId="43" fontId="3" fillId="0" borderId="0" xfId="0" applyNumberFormat="1" applyFont="1"/>
    <xf numFmtId="10" fontId="3" fillId="0" borderId="1" xfId="2" applyNumberFormat="1" applyFont="1" applyBorder="1" applyAlignment="1">
      <alignment horizontal="center"/>
    </xf>
    <xf numFmtId="164" fontId="2" fillId="0" borderId="1" xfId="1" applyNumberFormat="1" applyFont="1" applyBorder="1" applyAlignment="1">
      <alignment horizontal="center"/>
    </xf>
    <xf numFmtId="0" fontId="3" fillId="0" borderId="1" xfId="0" applyFont="1" applyBorder="1" applyAlignment="1">
      <alignment horizontal="center" vertical="center"/>
    </xf>
    <xf numFmtId="0" fontId="3" fillId="0" borderId="1" xfId="0" applyFont="1" applyBorder="1" applyAlignment="1">
      <alignment horizontal="center" vertical="center" wrapText="1"/>
    </xf>
    <xf numFmtId="0" fontId="3" fillId="0" borderId="1" xfId="0" applyFont="1" applyBorder="1" applyAlignment="1">
      <alignment horizontal="center"/>
    </xf>
  </cellXfs>
  <cellStyles count="3">
    <cellStyle name="Comma" xfId="1" builtinId="3"/>
    <cellStyle name="Normal" xfId="0" builtinId="0"/>
    <cellStyle name="Percent" xfId="2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D3AA7E0-E2EA-4F32-80B2-C0D55B3F1F22}">
  <dimension ref="A1:J121"/>
  <sheetViews>
    <sheetView tabSelected="1" workbookViewId="0"/>
  </sheetViews>
  <sheetFormatPr defaultRowHeight="13.2" x14ac:dyDescent="0.25"/>
  <cols>
    <col min="1" max="1" width="55.88671875" style="1" bestFit="1" customWidth="1"/>
    <col min="2" max="2" width="10.21875" style="1" bestFit="1" customWidth="1"/>
    <col min="3" max="3" width="14.77734375" style="1" customWidth="1"/>
    <col min="4" max="4" width="14.88671875" style="1" customWidth="1"/>
    <col min="5" max="16384" width="8.88671875" style="1"/>
  </cols>
  <sheetData>
    <row r="1" spans="1:10" x14ac:dyDescent="0.25">
      <c r="A1" s="4" t="s">
        <v>11</v>
      </c>
    </row>
    <row r="2" spans="1:10" s="2" customFormat="1" ht="26.4" x14ac:dyDescent="0.25">
      <c r="A2" s="33" t="s">
        <v>0</v>
      </c>
      <c r="B2" s="5" t="s">
        <v>1</v>
      </c>
      <c r="C2" s="5" t="s">
        <v>2</v>
      </c>
      <c r="D2" s="5" t="s">
        <v>3</v>
      </c>
      <c r="E2" s="5" t="s">
        <v>4</v>
      </c>
    </row>
    <row r="3" spans="1:10" x14ac:dyDescent="0.25">
      <c r="A3" s="33"/>
      <c r="B3" s="34" t="s">
        <v>5</v>
      </c>
      <c r="C3" s="34"/>
      <c r="D3" s="34"/>
      <c r="E3" s="34"/>
    </row>
    <row r="4" spans="1:10" x14ac:dyDescent="0.25">
      <c r="A4" s="6" t="s">
        <v>6</v>
      </c>
      <c r="B4" s="7">
        <v>20</v>
      </c>
      <c r="C4" s="16">
        <v>1</v>
      </c>
      <c r="D4" s="8">
        <f>B4*C4</f>
        <v>20</v>
      </c>
      <c r="E4" s="8">
        <f>B4-D4</f>
        <v>0</v>
      </c>
    </row>
    <row r="5" spans="1:10" x14ac:dyDescent="0.25">
      <c r="A5" s="6" t="s">
        <v>7</v>
      </c>
      <c r="B5" s="7">
        <v>10</v>
      </c>
      <c r="C5" s="16">
        <v>0.5</v>
      </c>
      <c r="D5" s="8">
        <f t="shared" ref="D5:D10" si="0">B5*C5</f>
        <v>5</v>
      </c>
      <c r="E5" s="8">
        <f t="shared" ref="E5:E10" si="1">B5-D5</f>
        <v>5</v>
      </c>
    </row>
    <row r="6" spans="1:10" x14ac:dyDescent="0.25">
      <c r="A6" s="6" t="s">
        <v>8</v>
      </c>
      <c r="B6" s="7">
        <v>40</v>
      </c>
      <c r="C6" s="16">
        <v>0.3</v>
      </c>
      <c r="D6" s="8">
        <f t="shared" si="0"/>
        <v>12</v>
      </c>
      <c r="E6" s="8">
        <f t="shared" si="1"/>
        <v>28</v>
      </c>
    </row>
    <row r="7" spans="1:10" x14ac:dyDescent="0.25">
      <c r="A7" s="6" t="s">
        <v>9</v>
      </c>
      <c r="B7" s="7">
        <v>50</v>
      </c>
      <c r="C7" s="16">
        <v>0.25</v>
      </c>
      <c r="D7" s="8">
        <f t="shared" si="0"/>
        <v>12.5</v>
      </c>
      <c r="E7" s="8">
        <f t="shared" si="1"/>
        <v>37.5</v>
      </c>
    </row>
    <row r="8" spans="1:10" x14ac:dyDescent="0.25">
      <c r="A8" s="6" t="s">
        <v>10</v>
      </c>
      <c r="B8" s="7">
        <v>7.5</v>
      </c>
      <c r="C8" s="16">
        <v>1</v>
      </c>
      <c r="D8" s="8">
        <f t="shared" si="0"/>
        <v>7.5</v>
      </c>
      <c r="E8" s="8">
        <f t="shared" si="1"/>
        <v>0</v>
      </c>
    </row>
    <row r="9" spans="1:10" x14ac:dyDescent="0.25">
      <c r="A9" s="9" t="s">
        <v>12</v>
      </c>
      <c r="B9" s="10">
        <f>SUM(B4:B8)</f>
        <v>127.5</v>
      </c>
      <c r="C9" s="17"/>
      <c r="D9" s="10">
        <f t="shared" ref="D9:E9" si="2">SUM(D4:D8)</f>
        <v>57</v>
      </c>
      <c r="E9" s="10">
        <f t="shared" si="2"/>
        <v>70.5</v>
      </c>
    </row>
    <row r="10" spans="1:10" x14ac:dyDescent="0.25">
      <c r="A10" s="9" t="s">
        <v>13</v>
      </c>
      <c r="B10" s="18">
        <f>J73</f>
        <v>7.0775000000000006</v>
      </c>
      <c r="C10" s="16">
        <v>1</v>
      </c>
      <c r="D10" s="11">
        <f t="shared" si="0"/>
        <v>7.0775000000000006</v>
      </c>
      <c r="E10" s="11">
        <f t="shared" si="1"/>
        <v>0</v>
      </c>
    </row>
    <row r="11" spans="1:10" x14ac:dyDescent="0.25">
      <c r="A11" s="9" t="s">
        <v>14</v>
      </c>
      <c r="B11" s="11">
        <f>SUM(B9:B10)</f>
        <v>134.57749999999999</v>
      </c>
      <c r="C11" s="9"/>
      <c r="D11" s="11">
        <f t="shared" ref="D11:E11" si="3">SUM(D9:D10)</f>
        <v>64.077500000000001</v>
      </c>
      <c r="E11" s="11">
        <f t="shared" si="3"/>
        <v>70.5</v>
      </c>
    </row>
    <row r="14" spans="1:10" x14ac:dyDescent="0.25">
      <c r="A14" s="4" t="s">
        <v>21</v>
      </c>
    </row>
    <row r="15" spans="1:10" x14ac:dyDescent="0.25">
      <c r="A15" s="32" t="s">
        <v>0</v>
      </c>
      <c r="B15" s="34" t="s">
        <v>15</v>
      </c>
      <c r="C15" s="34"/>
      <c r="D15" s="34"/>
      <c r="E15" s="34"/>
      <c r="F15" s="34" t="s">
        <v>16</v>
      </c>
      <c r="G15" s="34"/>
      <c r="H15" s="34"/>
      <c r="I15" s="34"/>
      <c r="J15" s="32" t="s">
        <v>22</v>
      </c>
    </row>
    <row r="16" spans="1:10" x14ac:dyDescent="0.25">
      <c r="A16" s="32"/>
      <c r="B16" s="12" t="s">
        <v>17</v>
      </c>
      <c r="C16" s="12" t="s">
        <v>18</v>
      </c>
      <c r="D16" s="12" t="s">
        <v>19</v>
      </c>
      <c r="E16" s="12" t="s">
        <v>20</v>
      </c>
      <c r="F16" s="12" t="s">
        <v>17</v>
      </c>
      <c r="G16" s="12" t="s">
        <v>18</v>
      </c>
      <c r="H16" s="12" t="s">
        <v>19</v>
      </c>
      <c r="I16" s="12" t="s">
        <v>20</v>
      </c>
      <c r="J16" s="32"/>
    </row>
    <row r="17" spans="1:10" x14ac:dyDescent="0.25">
      <c r="A17" s="6" t="s">
        <v>6</v>
      </c>
      <c r="B17" s="13">
        <v>1</v>
      </c>
      <c r="C17" s="13">
        <v>0</v>
      </c>
      <c r="D17" s="13">
        <v>0</v>
      </c>
      <c r="E17" s="13">
        <v>0</v>
      </c>
      <c r="F17" s="13">
        <v>0</v>
      </c>
      <c r="G17" s="13">
        <v>0</v>
      </c>
      <c r="H17" s="13">
        <v>0</v>
      </c>
      <c r="I17" s="13">
        <f>J17-SUM(B17:H17)</f>
        <v>0</v>
      </c>
      <c r="J17" s="13">
        <v>1</v>
      </c>
    </row>
    <row r="18" spans="1:10" x14ac:dyDescent="0.25">
      <c r="A18" s="6" t="s">
        <v>7</v>
      </c>
      <c r="B18" s="13">
        <v>0.25</v>
      </c>
      <c r="C18" s="13">
        <v>0.5</v>
      </c>
      <c r="D18" s="13">
        <v>0.1</v>
      </c>
      <c r="E18" s="13">
        <v>0</v>
      </c>
      <c r="F18" s="13">
        <v>0</v>
      </c>
      <c r="G18" s="13">
        <v>0</v>
      </c>
      <c r="H18" s="13">
        <v>0.1</v>
      </c>
      <c r="I18" s="13">
        <f t="shared" ref="I18:I21" si="4">J18-SUM(B18:H18)</f>
        <v>5.0000000000000044E-2</v>
      </c>
      <c r="J18" s="13">
        <v>1</v>
      </c>
    </row>
    <row r="19" spans="1:10" x14ac:dyDescent="0.25">
      <c r="A19" s="6" t="s">
        <v>8</v>
      </c>
      <c r="B19" s="13">
        <v>0.1</v>
      </c>
      <c r="C19" s="13">
        <v>0.2</v>
      </c>
      <c r="D19" s="13">
        <v>0.3</v>
      </c>
      <c r="E19" s="13">
        <v>0.35</v>
      </c>
      <c r="F19" s="13">
        <v>0.05</v>
      </c>
      <c r="G19" s="13">
        <v>0</v>
      </c>
      <c r="H19" s="13">
        <v>0</v>
      </c>
      <c r="I19" s="13">
        <f t="shared" si="4"/>
        <v>0</v>
      </c>
      <c r="J19" s="13">
        <v>1</v>
      </c>
    </row>
    <row r="20" spans="1:10" x14ac:dyDescent="0.25">
      <c r="A20" s="6" t="s">
        <v>9</v>
      </c>
      <c r="B20" s="13">
        <v>0</v>
      </c>
      <c r="C20" s="13">
        <v>0</v>
      </c>
      <c r="D20" s="13">
        <v>0.1</v>
      </c>
      <c r="E20" s="13">
        <v>0.1</v>
      </c>
      <c r="F20" s="13">
        <v>0.2</v>
      </c>
      <c r="G20" s="13">
        <v>0.2</v>
      </c>
      <c r="H20" s="13">
        <v>0.3</v>
      </c>
      <c r="I20" s="13">
        <f t="shared" si="4"/>
        <v>9.9999999999999867E-2</v>
      </c>
      <c r="J20" s="13">
        <v>1</v>
      </c>
    </row>
    <row r="21" spans="1:10" x14ac:dyDescent="0.25">
      <c r="A21" s="6" t="s">
        <v>10</v>
      </c>
      <c r="B21" s="13">
        <v>0</v>
      </c>
      <c r="C21" s="13">
        <v>0</v>
      </c>
      <c r="D21" s="13">
        <v>0</v>
      </c>
      <c r="E21" s="13">
        <v>0</v>
      </c>
      <c r="F21" s="13">
        <v>0</v>
      </c>
      <c r="G21" s="13">
        <v>0</v>
      </c>
      <c r="H21" s="13">
        <v>0.5</v>
      </c>
      <c r="I21" s="13">
        <f t="shared" si="4"/>
        <v>0.5</v>
      </c>
      <c r="J21" s="13">
        <v>1</v>
      </c>
    </row>
    <row r="23" spans="1:10" x14ac:dyDescent="0.25">
      <c r="A23" s="19" t="s">
        <v>23</v>
      </c>
    </row>
    <row r="24" spans="1:10" x14ac:dyDescent="0.25">
      <c r="A24" s="32" t="s">
        <v>0</v>
      </c>
      <c r="B24" s="34" t="s">
        <v>15</v>
      </c>
      <c r="C24" s="34"/>
      <c r="D24" s="34"/>
      <c r="E24" s="34"/>
      <c r="F24" s="34" t="s">
        <v>16</v>
      </c>
      <c r="G24" s="34"/>
      <c r="H24" s="34"/>
      <c r="I24" s="34"/>
      <c r="J24" s="32" t="s">
        <v>22</v>
      </c>
    </row>
    <row r="25" spans="1:10" x14ac:dyDescent="0.25">
      <c r="A25" s="32"/>
      <c r="B25" s="12" t="s">
        <v>17</v>
      </c>
      <c r="C25" s="12" t="s">
        <v>18</v>
      </c>
      <c r="D25" s="12" t="s">
        <v>19</v>
      </c>
      <c r="E25" s="12" t="s">
        <v>20</v>
      </c>
      <c r="F25" s="12" t="s">
        <v>17</v>
      </c>
      <c r="G25" s="12" t="s">
        <v>18</v>
      </c>
      <c r="H25" s="12" t="s">
        <v>19</v>
      </c>
      <c r="I25" s="12" t="s">
        <v>20</v>
      </c>
      <c r="J25" s="32"/>
    </row>
    <row r="26" spans="1:10" x14ac:dyDescent="0.25">
      <c r="A26" s="6" t="s">
        <v>6</v>
      </c>
      <c r="B26" s="8">
        <f>$B$4*B17</f>
        <v>20</v>
      </c>
      <c r="C26" s="8">
        <f t="shared" ref="C26:I26" si="5">$B$4*C17</f>
        <v>0</v>
      </c>
      <c r="D26" s="8">
        <f t="shared" si="5"/>
        <v>0</v>
      </c>
      <c r="E26" s="8">
        <f t="shared" si="5"/>
        <v>0</v>
      </c>
      <c r="F26" s="8">
        <f t="shared" si="5"/>
        <v>0</v>
      </c>
      <c r="G26" s="8">
        <f t="shared" si="5"/>
        <v>0</v>
      </c>
      <c r="H26" s="8">
        <f t="shared" si="5"/>
        <v>0</v>
      </c>
      <c r="I26" s="8">
        <f t="shared" si="5"/>
        <v>0</v>
      </c>
      <c r="J26" s="8">
        <f>SUM(B26:I26)</f>
        <v>20</v>
      </c>
    </row>
    <row r="27" spans="1:10" x14ac:dyDescent="0.25">
      <c r="A27" s="6" t="s">
        <v>7</v>
      </c>
      <c r="B27" s="8">
        <f>$B$5*B18</f>
        <v>2.5</v>
      </c>
      <c r="C27" s="8">
        <f t="shared" ref="C27:I27" si="6">$B$5*C18</f>
        <v>5</v>
      </c>
      <c r="D27" s="8">
        <f t="shared" si="6"/>
        <v>1</v>
      </c>
      <c r="E27" s="8">
        <f t="shared" si="6"/>
        <v>0</v>
      </c>
      <c r="F27" s="8">
        <f t="shared" si="6"/>
        <v>0</v>
      </c>
      <c r="G27" s="8">
        <f t="shared" si="6"/>
        <v>0</v>
      </c>
      <c r="H27" s="8">
        <f t="shared" si="6"/>
        <v>1</v>
      </c>
      <c r="I27" s="8">
        <f t="shared" si="6"/>
        <v>0.50000000000000044</v>
      </c>
      <c r="J27" s="8">
        <f t="shared" ref="J27:J30" si="7">SUM(B27:I27)</f>
        <v>10</v>
      </c>
    </row>
    <row r="28" spans="1:10" x14ac:dyDescent="0.25">
      <c r="A28" s="6" t="s">
        <v>8</v>
      </c>
      <c r="B28" s="8">
        <f>$B$6*B19</f>
        <v>4</v>
      </c>
      <c r="C28" s="8">
        <f t="shared" ref="C28:I28" si="8">$B$6*C19</f>
        <v>8</v>
      </c>
      <c r="D28" s="8">
        <f t="shared" si="8"/>
        <v>12</v>
      </c>
      <c r="E28" s="8">
        <f t="shared" si="8"/>
        <v>14</v>
      </c>
      <c r="F28" s="8">
        <f t="shared" si="8"/>
        <v>2</v>
      </c>
      <c r="G28" s="8">
        <f t="shared" si="8"/>
        <v>0</v>
      </c>
      <c r="H28" s="8">
        <f t="shared" si="8"/>
        <v>0</v>
      </c>
      <c r="I28" s="8">
        <f t="shared" si="8"/>
        <v>0</v>
      </c>
      <c r="J28" s="8">
        <f t="shared" si="7"/>
        <v>40</v>
      </c>
    </row>
    <row r="29" spans="1:10" x14ac:dyDescent="0.25">
      <c r="A29" s="6" t="s">
        <v>9</v>
      </c>
      <c r="B29" s="8">
        <f>$B$7*B20</f>
        <v>0</v>
      </c>
      <c r="C29" s="8">
        <f t="shared" ref="C29:I29" si="9">$B$7*C20</f>
        <v>0</v>
      </c>
      <c r="D29" s="8">
        <f t="shared" si="9"/>
        <v>5</v>
      </c>
      <c r="E29" s="8">
        <f t="shared" si="9"/>
        <v>5</v>
      </c>
      <c r="F29" s="8">
        <f t="shared" si="9"/>
        <v>10</v>
      </c>
      <c r="G29" s="8">
        <f t="shared" si="9"/>
        <v>10</v>
      </c>
      <c r="H29" s="8">
        <f t="shared" si="9"/>
        <v>15</v>
      </c>
      <c r="I29" s="8">
        <f t="shared" si="9"/>
        <v>4.9999999999999929</v>
      </c>
      <c r="J29" s="8">
        <f t="shared" si="7"/>
        <v>49.999999999999993</v>
      </c>
    </row>
    <row r="30" spans="1:10" x14ac:dyDescent="0.25">
      <c r="A30" s="6" t="s">
        <v>10</v>
      </c>
      <c r="B30" s="8">
        <f>$B$8*B21</f>
        <v>0</v>
      </c>
      <c r="C30" s="8">
        <f t="shared" ref="C30:I30" si="10">$B$8*C21</f>
        <v>0</v>
      </c>
      <c r="D30" s="8">
        <f t="shared" si="10"/>
        <v>0</v>
      </c>
      <c r="E30" s="8">
        <f t="shared" si="10"/>
        <v>0</v>
      </c>
      <c r="F30" s="8">
        <f t="shared" si="10"/>
        <v>0</v>
      </c>
      <c r="G30" s="8">
        <f t="shared" si="10"/>
        <v>0</v>
      </c>
      <c r="H30" s="8">
        <f t="shared" si="10"/>
        <v>3.75</v>
      </c>
      <c r="I30" s="8">
        <f t="shared" si="10"/>
        <v>3.75</v>
      </c>
      <c r="J30" s="8">
        <f t="shared" si="7"/>
        <v>7.5</v>
      </c>
    </row>
    <row r="31" spans="1:10" x14ac:dyDescent="0.25">
      <c r="A31" s="9" t="s">
        <v>24</v>
      </c>
      <c r="B31" s="11">
        <f>SUM(B26:B30)</f>
        <v>26.5</v>
      </c>
      <c r="C31" s="11">
        <f t="shared" ref="C31:J31" si="11">SUM(C26:C30)</f>
        <v>13</v>
      </c>
      <c r="D31" s="11">
        <f t="shared" si="11"/>
        <v>18</v>
      </c>
      <c r="E31" s="11">
        <f t="shared" si="11"/>
        <v>19</v>
      </c>
      <c r="F31" s="11">
        <f t="shared" si="11"/>
        <v>12</v>
      </c>
      <c r="G31" s="11">
        <f t="shared" si="11"/>
        <v>10</v>
      </c>
      <c r="H31" s="11">
        <f t="shared" si="11"/>
        <v>19.75</v>
      </c>
      <c r="I31" s="11">
        <f t="shared" si="11"/>
        <v>9.2499999999999929</v>
      </c>
      <c r="J31" s="11">
        <f t="shared" si="11"/>
        <v>127.5</v>
      </c>
    </row>
    <row r="34" spans="1:10" x14ac:dyDescent="0.25">
      <c r="A34" s="4" t="s">
        <v>25</v>
      </c>
    </row>
    <row r="36" spans="1:10" x14ac:dyDescent="0.25">
      <c r="A36" s="32" t="s">
        <v>0</v>
      </c>
      <c r="B36" s="34" t="s">
        <v>15</v>
      </c>
      <c r="C36" s="34"/>
      <c r="D36" s="34"/>
      <c r="E36" s="34"/>
      <c r="F36" s="34" t="s">
        <v>16</v>
      </c>
      <c r="G36" s="34"/>
      <c r="H36" s="34"/>
      <c r="I36" s="34"/>
      <c r="J36" s="32" t="s">
        <v>22</v>
      </c>
    </row>
    <row r="37" spans="1:10" x14ac:dyDescent="0.25">
      <c r="A37" s="32"/>
      <c r="B37" s="12" t="s">
        <v>17</v>
      </c>
      <c r="C37" s="12" t="s">
        <v>18</v>
      </c>
      <c r="D37" s="12" t="s">
        <v>19</v>
      </c>
      <c r="E37" s="12" t="s">
        <v>20</v>
      </c>
      <c r="F37" s="12" t="s">
        <v>17</v>
      </c>
      <c r="G37" s="12" t="s">
        <v>18</v>
      </c>
      <c r="H37" s="12" t="s">
        <v>19</v>
      </c>
      <c r="I37" s="12" t="s">
        <v>20</v>
      </c>
      <c r="J37" s="32"/>
    </row>
    <row r="38" spans="1:10" x14ac:dyDescent="0.25">
      <c r="A38" s="9" t="s">
        <v>6</v>
      </c>
      <c r="B38" s="6"/>
      <c r="C38" s="6"/>
      <c r="D38" s="6"/>
      <c r="E38" s="6"/>
      <c r="F38" s="6"/>
      <c r="G38" s="6"/>
      <c r="H38" s="6"/>
      <c r="I38" s="6"/>
      <c r="J38" s="6"/>
    </row>
    <row r="39" spans="1:10" x14ac:dyDescent="0.25">
      <c r="A39" s="6" t="s">
        <v>26</v>
      </c>
      <c r="B39" s="8">
        <f>B41*$C$4</f>
        <v>20</v>
      </c>
      <c r="C39" s="8">
        <f t="shared" ref="C39:I39" si="12">C41*$C$4</f>
        <v>0</v>
      </c>
      <c r="D39" s="8">
        <f t="shared" si="12"/>
        <v>0</v>
      </c>
      <c r="E39" s="8">
        <f t="shared" si="12"/>
        <v>0</v>
      </c>
      <c r="F39" s="8">
        <f t="shared" si="12"/>
        <v>0</v>
      </c>
      <c r="G39" s="8">
        <f t="shared" si="12"/>
        <v>0</v>
      </c>
      <c r="H39" s="8">
        <f t="shared" si="12"/>
        <v>0</v>
      </c>
      <c r="I39" s="8">
        <f t="shared" si="12"/>
        <v>0</v>
      </c>
      <c r="J39" s="11">
        <f>SUM(B39:I39)</f>
        <v>20</v>
      </c>
    </row>
    <row r="40" spans="1:10" x14ac:dyDescent="0.25">
      <c r="A40" s="6" t="s">
        <v>4</v>
      </c>
      <c r="B40" s="8">
        <f>B41-B39</f>
        <v>0</v>
      </c>
      <c r="C40" s="8">
        <f t="shared" ref="C40:I40" si="13">C41-C39</f>
        <v>0</v>
      </c>
      <c r="D40" s="8">
        <f t="shared" si="13"/>
        <v>0</v>
      </c>
      <c r="E40" s="8">
        <f t="shared" si="13"/>
        <v>0</v>
      </c>
      <c r="F40" s="8">
        <f t="shared" si="13"/>
        <v>0</v>
      </c>
      <c r="G40" s="8">
        <f t="shared" si="13"/>
        <v>0</v>
      </c>
      <c r="H40" s="8">
        <f t="shared" si="13"/>
        <v>0</v>
      </c>
      <c r="I40" s="8">
        <f t="shared" si="13"/>
        <v>0</v>
      </c>
      <c r="J40" s="11">
        <f>SUM(B40:I40)</f>
        <v>0</v>
      </c>
    </row>
    <row r="41" spans="1:10" x14ac:dyDescent="0.25">
      <c r="A41" s="9" t="s">
        <v>27</v>
      </c>
      <c r="B41" s="11">
        <f>B26</f>
        <v>20</v>
      </c>
      <c r="C41" s="11">
        <f t="shared" ref="C41:I41" si="14">C26</f>
        <v>0</v>
      </c>
      <c r="D41" s="11">
        <f t="shared" si="14"/>
        <v>0</v>
      </c>
      <c r="E41" s="11">
        <f t="shared" si="14"/>
        <v>0</v>
      </c>
      <c r="F41" s="11">
        <f t="shared" si="14"/>
        <v>0</v>
      </c>
      <c r="G41" s="11">
        <f t="shared" si="14"/>
        <v>0</v>
      </c>
      <c r="H41" s="11">
        <f t="shared" si="14"/>
        <v>0</v>
      </c>
      <c r="I41" s="11">
        <f t="shared" si="14"/>
        <v>0</v>
      </c>
      <c r="J41" s="11">
        <f>SUM(B41:I41)</f>
        <v>20</v>
      </c>
    </row>
    <row r="42" spans="1:10" x14ac:dyDescent="0.25">
      <c r="A42" s="6"/>
      <c r="B42" s="6"/>
      <c r="C42" s="6"/>
      <c r="D42" s="6"/>
      <c r="E42" s="6"/>
      <c r="F42" s="6"/>
      <c r="G42" s="6"/>
      <c r="H42" s="6"/>
      <c r="I42" s="6"/>
      <c r="J42" s="6"/>
    </row>
    <row r="43" spans="1:10" x14ac:dyDescent="0.25">
      <c r="A43" s="9" t="s">
        <v>7</v>
      </c>
      <c r="B43" s="6"/>
      <c r="C43" s="6"/>
      <c r="D43" s="6"/>
      <c r="E43" s="6"/>
      <c r="F43" s="6"/>
      <c r="G43" s="6"/>
      <c r="H43" s="6"/>
      <c r="I43" s="6"/>
      <c r="J43" s="6"/>
    </row>
    <row r="44" spans="1:10" x14ac:dyDescent="0.25">
      <c r="A44" s="6" t="s">
        <v>26</v>
      </c>
      <c r="B44" s="8">
        <f>B46*$C$5</f>
        <v>1.25</v>
      </c>
      <c r="C44" s="8">
        <f t="shared" ref="C44:I44" si="15">C46*$C$5</f>
        <v>2.5</v>
      </c>
      <c r="D44" s="8">
        <f t="shared" si="15"/>
        <v>0.5</v>
      </c>
      <c r="E44" s="8">
        <f t="shared" si="15"/>
        <v>0</v>
      </c>
      <c r="F44" s="8">
        <f t="shared" si="15"/>
        <v>0</v>
      </c>
      <c r="G44" s="8">
        <f t="shared" si="15"/>
        <v>0</v>
      </c>
      <c r="H44" s="8">
        <f t="shared" si="15"/>
        <v>0.5</v>
      </c>
      <c r="I44" s="8">
        <f t="shared" si="15"/>
        <v>0.25000000000000022</v>
      </c>
      <c r="J44" s="11">
        <f t="shared" ref="J44:J45" si="16">SUM(B44:I44)</f>
        <v>5</v>
      </c>
    </row>
    <row r="45" spans="1:10" x14ac:dyDescent="0.25">
      <c r="A45" s="6" t="s">
        <v>4</v>
      </c>
      <c r="B45" s="8">
        <f>B46-B44</f>
        <v>1.25</v>
      </c>
      <c r="C45" s="8">
        <f t="shared" ref="C45:I45" si="17">C46-C44</f>
        <v>2.5</v>
      </c>
      <c r="D45" s="8">
        <f t="shared" si="17"/>
        <v>0.5</v>
      </c>
      <c r="E45" s="8">
        <f t="shared" si="17"/>
        <v>0</v>
      </c>
      <c r="F45" s="8">
        <f t="shared" si="17"/>
        <v>0</v>
      </c>
      <c r="G45" s="8">
        <f t="shared" si="17"/>
        <v>0</v>
      </c>
      <c r="H45" s="8">
        <f t="shared" si="17"/>
        <v>0.5</v>
      </c>
      <c r="I45" s="8">
        <f t="shared" si="17"/>
        <v>0.25000000000000022</v>
      </c>
      <c r="J45" s="11">
        <f t="shared" si="16"/>
        <v>5</v>
      </c>
    </row>
    <row r="46" spans="1:10" x14ac:dyDescent="0.25">
      <c r="A46" s="9" t="s">
        <v>28</v>
      </c>
      <c r="B46" s="11">
        <f>B27</f>
        <v>2.5</v>
      </c>
      <c r="C46" s="11">
        <f t="shared" ref="C46:I46" si="18">C27</f>
        <v>5</v>
      </c>
      <c r="D46" s="11">
        <f t="shared" si="18"/>
        <v>1</v>
      </c>
      <c r="E46" s="11">
        <f t="shared" si="18"/>
        <v>0</v>
      </c>
      <c r="F46" s="11">
        <f t="shared" si="18"/>
        <v>0</v>
      </c>
      <c r="G46" s="11">
        <f t="shared" si="18"/>
        <v>0</v>
      </c>
      <c r="H46" s="11">
        <f t="shared" si="18"/>
        <v>1</v>
      </c>
      <c r="I46" s="11">
        <f t="shared" si="18"/>
        <v>0.50000000000000044</v>
      </c>
      <c r="J46" s="11">
        <f>SUM(B46:I46)</f>
        <v>10</v>
      </c>
    </row>
    <row r="47" spans="1:10" x14ac:dyDescent="0.25">
      <c r="A47" s="6"/>
      <c r="B47" s="6"/>
      <c r="C47" s="6"/>
      <c r="D47" s="6"/>
      <c r="E47" s="6"/>
      <c r="F47" s="6"/>
      <c r="G47" s="6"/>
      <c r="H47" s="6"/>
      <c r="I47" s="6"/>
      <c r="J47" s="6"/>
    </row>
    <row r="48" spans="1:10" x14ac:dyDescent="0.25">
      <c r="A48" s="9" t="s">
        <v>8</v>
      </c>
      <c r="B48" s="6"/>
      <c r="C48" s="6"/>
      <c r="D48" s="6"/>
      <c r="E48" s="6"/>
      <c r="F48" s="6"/>
      <c r="G48" s="6"/>
      <c r="H48" s="6"/>
      <c r="I48" s="6"/>
      <c r="J48" s="6"/>
    </row>
    <row r="49" spans="1:10" x14ac:dyDescent="0.25">
      <c r="A49" s="6" t="s">
        <v>26</v>
      </c>
      <c r="B49" s="8">
        <f>B51*$C$6</f>
        <v>1.2</v>
      </c>
      <c r="C49" s="8">
        <f t="shared" ref="C49:I49" si="19">C51*$C$6</f>
        <v>2.4</v>
      </c>
      <c r="D49" s="8">
        <f t="shared" si="19"/>
        <v>3.5999999999999996</v>
      </c>
      <c r="E49" s="8">
        <f t="shared" si="19"/>
        <v>4.2</v>
      </c>
      <c r="F49" s="8">
        <f t="shared" si="19"/>
        <v>0.6</v>
      </c>
      <c r="G49" s="8">
        <f t="shared" si="19"/>
        <v>0</v>
      </c>
      <c r="H49" s="8">
        <f t="shared" si="19"/>
        <v>0</v>
      </c>
      <c r="I49" s="8">
        <f t="shared" si="19"/>
        <v>0</v>
      </c>
      <c r="J49" s="11">
        <f t="shared" ref="J49:J50" si="20">SUM(B49:I49)</f>
        <v>11.999999999999998</v>
      </c>
    </row>
    <row r="50" spans="1:10" x14ac:dyDescent="0.25">
      <c r="A50" s="6" t="s">
        <v>4</v>
      </c>
      <c r="B50" s="8">
        <f>B51-B49</f>
        <v>2.8</v>
      </c>
      <c r="C50" s="8">
        <f t="shared" ref="C50:I50" si="21">C51-C49</f>
        <v>5.6</v>
      </c>
      <c r="D50" s="8">
        <f t="shared" si="21"/>
        <v>8.4</v>
      </c>
      <c r="E50" s="8">
        <f t="shared" si="21"/>
        <v>9.8000000000000007</v>
      </c>
      <c r="F50" s="8">
        <f t="shared" si="21"/>
        <v>1.4</v>
      </c>
      <c r="G50" s="8">
        <f t="shared" si="21"/>
        <v>0</v>
      </c>
      <c r="H50" s="8">
        <f t="shared" si="21"/>
        <v>0</v>
      </c>
      <c r="I50" s="8">
        <f t="shared" si="21"/>
        <v>0</v>
      </c>
      <c r="J50" s="11">
        <f t="shared" si="20"/>
        <v>27.999999999999996</v>
      </c>
    </row>
    <row r="51" spans="1:10" x14ac:dyDescent="0.25">
      <c r="A51" s="9" t="s">
        <v>29</v>
      </c>
      <c r="B51" s="11">
        <f>B28</f>
        <v>4</v>
      </c>
      <c r="C51" s="11">
        <f t="shared" ref="C51:I51" si="22">C28</f>
        <v>8</v>
      </c>
      <c r="D51" s="11">
        <f t="shared" si="22"/>
        <v>12</v>
      </c>
      <c r="E51" s="11">
        <f t="shared" si="22"/>
        <v>14</v>
      </c>
      <c r="F51" s="11">
        <f t="shared" si="22"/>
        <v>2</v>
      </c>
      <c r="G51" s="11">
        <f t="shared" si="22"/>
        <v>0</v>
      </c>
      <c r="H51" s="11">
        <f t="shared" si="22"/>
        <v>0</v>
      </c>
      <c r="I51" s="11">
        <f t="shared" si="22"/>
        <v>0</v>
      </c>
      <c r="J51" s="11">
        <f>SUM(B51:I51)</f>
        <v>40</v>
      </c>
    </row>
    <row r="52" spans="1:10" x14ac:dyDescent="0.25">
      <c r="A52" s="6"/>
      <c r="B52" s="6"/>
      <c r="C52" s="6"/>
      <c r="D52" s="6"/>
      <c r="E52" s="6"/>
      <c r="F52" s="6"/>
      <c r="G52" s="6"/>
      <c r="H52" s="6"/>
      <c r="I52" s="6"/>
      <c r="J52" s="6"/>
    </row>
    <row r="53" spans="1:10" x14ac:dyDescent="0.25">
      <c r="A53" s="9" t="s">
        <v>9</v>
      </c>
      <c r="B53" s="6"/>
      <c r="C53" s="6"/>
      <c r="D53" s="6"/>
      <c r="E53" s="6"/>
      <c r="F53" s="6"/>
      <c r="G53" s="6"/>
      <c r="H53" s="6"/>
      <c r="I53" s="6"/>
      <c r="J53" s="6"/>
    </row>
    <row r="54" spans="1:10" x14ac:dyDescent="0.25">
      <c r="A54" s="6" t="s">
        <v>26</v>
      </c>
      <c r="B54" s="8">
        <f>B56*$C$7</f>
        <v>0</v>
      </c>
      <c r="C54" s="8">
        <f t="shared" ref="C54:I54" si="23">C56*$C$7</f>
        <v>0</v>
      </c>
      <c r="D54" s="8">
        <f t="shared" si="23"/>
        <v>1.25</v>
      </c>
      <c r="E54" s="8">
        <f t="shared" si="23"/>
        <v>1.25</v>
      </c>
      <c r="F54" s="8">
        <f t="shared" si="23"/>
        <v>2.5</v>
      </c>
      <c r="G54" s="8">
        <f t="shared" si="23"/>
        <v>2.5</v>
      </c>
      <c r="H54" s="8">
        <f t="shared" si="23"/>
        <v>3.75</v>
      </c>
      <c r="I54" s="8">
        <f t="shared" si="23"/>
        <v>1.2499999999999982</v>
      </c>
      <c r="J54" s="11">
        <f t="shared" ref="J54:J55" si="24">SUM(B54:I54)</f>
        <v>12.499999999999998</v>
      </c>
    </row>
    <row r="55" spans="1:10" x14ac:dyDescent="0.25">
      <c r="A55" s="6" t="s">
        <v>4</v>
      </c>
      <c r="B55" s="8">
        <f>B56-B54</f>
        <v>0</v>
      </c>
      <c r="C55" s="8">
        <f t="shared" ref="C55:I55" si="25">C56-C54</f>
        <v>0</v>
      </c>
      <c r="D55" s="8">
        <f t="shared" si="25"/>
        <v>3.75</v>
      </c>
      <c r="E55" s="8">
        <f t="shared" si="25"/>
        <v>3.75</v>
      </c>
      <c r="F55" s="8">
        <f t="shared" si="25"/>
        <v>7.5</v>
      </c>
      <c r="G55" s="8">
        <f t="shared" si="25"/>
        <v>7.5</v>
      </c>
      <c r="H55" s="8">
        <f t="shared" si="25"/>
        <v>11.25</v>
      </c>
      <c r="I55" s="8">
        <f t="shared" si="25"/>
        <v>3.7499999999999947</v>
      </c>
      <c r="J55" s="11">
        <f t="shared" si="24"/>
        <v>37.499999999999993</v>
      </c>
    </row>
    <row r="56" spans="1:10" x14ac:dyDescent="0.25">
      <c r="A56" s="9" t="s">
        <v>30</v>
      </c>
      <c r="B56" s="11">
        <f>B29</f>
        <v>0</v>
      </c>
      <c r="C56" s="11">
        <f t="shared" ref="C56:I56" si="26">C29</f>
        <v>0</v>
      </c>
      <c r="D56" s="11">
        <f t="shared" si="26"/>
        <v>5</v>
      </c>
      <c r="E56" s="11">
        <f t="shared" si="26"/>
        <v>5</v>
      </c>
      <c r="F56" s="11">
        <f t="shared" si="26"/>
        <v>10</v>
      </c>
      <c r="G56" s="11">
        <f t="shared" si="26"/>
        <v>10</v>
      </c>
      <c r="H56" s="11">
        <f t="shared" si="26"/>
        <v>15</v>
      </c>
      <c r="I56" s="11">
        <f t="shared" si="26"/>
        <v>4.9999999999999929</v>
      </c>
      <c r="J56" s="11">
        <f>SUM(B56:I56)</f>
        <v>49.999999999999993</v>
      </c>
    </row>
    <row r="57" spans="1:10" x14ac:dyDescent="0.25">
      <c r="A57" s="6"/>
      <c r="B57" s="6"/>
      <c r="C57" s="6"/>
      <c r="D57" s="6"/>
      <c r="E57" s="6"/>
      <c r="F57" s="6"/>
      <c r="G57" s="6"/>
      <c r="H57" s="6"/>
      <c r="I57" s="6"/>
      <c r="J57" s="6"/>
    </row>
    <row r="58" spans="1:10" x14ac:dyDescent="0.25">
      <c r="A58" s="9" t="s">
        <v>10</v>
      </c>
      <c r="B58" s="6"/>
      <c r="C58" s="6"/>
      <c r="D58" s="6"/>
      <c r="E58" s="6"/>
      <c r="F58" s="6"/>
      <c r="G58" s="6"/>
      <c r="H58" s="6"/>
      <c r="I58" s="6"/>
      <c r="J58" s="6"/>
    </row>
    <row r="59" spans="1:10" x14ac:dyDescent="0.25">
      <c r="A59" s="6" t="s">
        <v>26</v>
      </c>
      <c r="B59" s="8">
        <f>B61*$C$8</f>
        <v>0</v>
      </c>
      <c r="C59" s="8">
        <f t="shared" ref="C59:I59" si="27">C61*$C$8</f>
        <v>0</v>
      </c>
      <c r="D59" s="8">
        <f t="shared" si="27"/>
        <v>0</v>
      </c>
      <c r="E59" s="8">
        <f t="shared" si="27"/>
        <v>0</v>
      </c>
      <c r="F59" s="8">
        <f t="shared" si="27"/>
        <v>0</v>
      </c>
      <c r="G59" s="8">
        <f t="shared" si="27"/>
        <v>0</v>
      </c>
      <c r="H59" s="8">
        <f t="shared" si="27"/>
        <v>3.75</v>
      </c>
      <c r="I59" s="8">
        <f t="shared" si="27"/>
        <v>3.75</v>
      </c>
      <c r="J59" s="11">
        <f t="shared" ref="J59:J60" si="28">SUM(B59:I59)</f>
        <v>7.5</v>
      </c>
    </row>
    <row r="60" spans="1:10" x14ac:dyDescent="0.25">
      <c r="A60" s="6" t="s">
        <v>4</v>
      </c>
      <c r="B60" s="8">
        <f>B61-B59</f>
        <v>0</v>
      </c>
      <c r="C60" s="8">
        <f t="shared" ref="C60:I60" si="29">C61-C59</f>
        <v>0</v>
      </c>
      <c r="D60" s="8">
        <f t="shared" si="29"/>
        <v>0</v>
      </c>
      <c r="E60" s="8">
        <f t="shared" si="29"/>
        <v>0</v>
      </c>
      <c r="F60" s="8">
        <f t="shared" si="29"/>
        <v>0</v>
      </c>
      <c r="G60" s="8">
        <f t="shared" si="29"/>
        <v>0</v>
      </c>
      <c r="H60" s="8">
        <f t="shared" si="29"/>
        <v>0</v>
      </c>
      <c r="I60" s="8">
        <f t="shared" si="29"/>
        <v>0</v>
      </c>
      <c r="J60" s="11">
        <f t="shared" si="28"/>
        <v>0</v>
      </c>
    </row>
    <row r="61" spans="1:10" x14ac:dyDescent="0.25">
      <c r="A61" s="9" t="s">
        <v>31</v>
      </c>
      <c r="B61" s="11">
        <f>B30</f>
        <v>0</v>
      </c>
      <c r="C61" s="11">
        <f t="shared" ref="C61:I61" si="30">C30</f>
        <v>0</v>
      </c>
      <c r="D61" s="11">
        <f t="shared" si="30"/>
        <v>0</v>
      </c>
      <c r="E61" s="11">
        <f t="shared" si="30"/>
        <v>0</v>
      </c>
      <c r="F61" s="11">
        <f t="shared" si="30"/>
        <v>0</v>
      </c>
      <c r="G61" s="11">
        <f t="shared" si="30"/>
        <v>0</v>
      </c>
      <c r="H61" s="11">
        <f t="shared" si="30"/>
        <v>3.75</v>
      </c>
      <c r="I61" s="11">
        <f t="shared" si="30"/>
        <v>3.75</v>
      </c>
      <c r="J61" s="11">
        <f>SUM(B61:I61)</f>
        <v>7.5</v>
      </c>
    </row>
    <row r="62" spans="1:10" x14ac:dyDescent="0.25">
      <c r="A62" s="6"/>
      <c r="B62" s="6"/>
      <c r="C62" s="6"/>
      <c r="D62" s="6"/>
      <c r="E62" s="6"/>
      <c r="F62" s="6"/>
      <c r="G62" s="6"/>
      <c r="H62" s="6"/>
      <c r="I62" s="6"/>
      <c r="J62" s="6"/>
    </row>
    <row r="63" spans="1:10" x14ac:dyDescent="0.25">
      <c r="A63" s="6" t="s">
        <v>32</v>
      </c>
      <c r="B63" s="8">
        <f>B39+B44+B49+B54+B59</f>
        <v>22.45</v>
      </c>
      <c r="C63" s="8">
        <f t="shared" ref="C63:I63" si="31">C39+C44+C49+C54+C59</f>
        <v>4.9000000000000004</v>
      </c>
      <c r="D63" s="8">
        <f t="shared" si="31"/>
        <v>5.35</v>
      </c>
      <c r="E63" s="8">
        <f t="shared" si="31"/>
        <v>5.45</v>
      </c>
      <c r="F63" s="8">
        <f t="shared" si="31"/>
        <v>3.1</v>
      </c>
      <c r="G63" s="8">
        <f t="shared" si="31"/>
        <v>2.5</v>
      </c>
      <c r="H63" s="8">
        <f t="shared" si="31"/>
        <v>8</v>
      </c>
      <c r="I63" s="8">
        <f t="shared" si="31"/>
        <v>5.2499999999999982</v>
      </c>
      <c r="J63" s="11">
        <f>SUM(B63:I63)</f>
        <v>57.000000000000007</v>
      </c>
    </row>
    <row r="64" spans="1:10" x14ac:dyDescent="0.25">
      <c r="A64" s="6" t="s">
        <v>33</v>
      </c>
      <c r="B64" s="8">
        <f>B40+B45+B50+B55+B60</f>
        <v>4.05</v>
      </c>
      <c r="C64" s="8">
        <f t="shared" ref="C64:I64" si="32">C40+C45+C50+C55+C60</f>
        <v>8.1</v>
      </c>
      <c r="D64" s="8">
        <f t="shared" si="32"/>
        <v>12.65</v>
      </c>
      <c r="E64" s="8">
        <f t="shared" si="32"/>
        <v>13.55</v>
      </c>
      <c r="F64" s="8">
        <f t="shared" si="32"/>
        <v>8.9</v>
      </c>
      <c r="G64" s="8">
        <f t="shared" si="32"/>
        <v>7.5</v>
      </c>
      <c r="H64" s="8">
        <f t="shared" si="32"/>
        <v>11.75</v>
      </c>
      <c r="I64" s="8">
        <f t="shared" si="32"/>
        <v>3.9999999999999947</v>
      </c>
      <c r="J64" s="11">
        <f>SUM(B64:I64)</f>
        <v>70.5</v>
      </c>
    </row>
    <row r="65" spans="1:10" x14ac:dyDescent="0.25">
      <c r="A65" s="9" t="s">
        <v>11</v>
      </c>
      <c r="B65" s="11">
        <f>SUM(B63:B64)</f>
        <v>26.5</v>
      </c>
      <c r="C65" s="11">
        <f t="shared" ref="C65:J65" si="33">SUM(C63:C64)</f>
        <v>13</v>
      </c>
      <c r="D65" s="11">
        <f t="shared" si="33"/>
        <v>18</v>
      </c>
      <c r="E65" s="11">
        <f t="shared" si="33"/>
        <v>19</v>
      </c>
      <c r="F65" s="11">
        <f t="shared" si="33"/>
        <v>12</v>
      </c>
      <c r="G65" s="11">
        <f t="shared" si="33"/>
        <v>10</v>
      </c>
      <c r="H65" s="11">
        <f t="shared" si="33"/>
        <v>19.75</v>
      </c>
      <c r="I65" s="11">
        <f t="shared" si="33"/>
        <v>9.2499999999999929</v>
      </c>
      <c r="J65" s="11">
        <f t="shared" si="33"/>
        <v>127.5</v>
      </c>
    </row>
    <row r="67" spans="1:10" x14ac:dyDescent="0.25">
      <c r="A67" s="32" t="s">
        <v>34</v>
      </c>
      <c r="B67" s="34" t="s">
        <v>15</v>
      </c>
      <c r="C67" s="34"/>
      <c r="D67" s="34"/>
      <c r="E67" s="34"/>
      <c r="F67" s="34" t="s">
        <v>16</v>
      </c>
      <c r="G67" s="34"/>
      <c r="H67" s="34"/>
      <c r="I67" s="34"/>
      <c r="J67" s="32" t="s">
        <v>22</v>
      </c>
    </row>
    <row r="68" spans="1:10" x14ac:dyDescent="0.25">
      <c r="A68" s="32"/>
      <c r="B68" s="12" t="s">
        <v>17</v>
      </c>
      <c r="C68" s="12" t="s">
        <v>18</v>
      </c>
      <c r="D68" s="12" t="s">
        <v>19</v>
      </c>
      <c r="E68" s="12" t="s">
        <v>20</v>
      </c>
      <c r="F68" s="12" t="s">
        <v>17</v>
      </c>
      <c r="G68" s="12" t="s">
        <v>18</v>
      </c>
      <c r="H68" s="12" t="s">
        <v>19</v>
      </c>
      <c r="I68" s="12" t="s">
        <v>20</v>
      </c>
      <c r="J68" s="32"/>
    </row>
    <row r="69" spans="1:10" x14ac:dyDescent="0.25">
      <c r="A69" s="6" t="s">
        <v>35</v>
      </c>
      <c r="B69" s="7">
        <v>0</v>
      </c>
      <c r="C69" s="7">
        <f>B71</f>
        <v>4.05</v>
      </c>
      <c r="D69" s="7">
        <f t="shared" ref="D69:I69" si="34">C71</f>
        <v>12.149999999999999</v>
      </c>
      <c r="E69" s="7">
        <f t="shared" si="34"/>
        <v>24.799999999999997</v>
      </c>
      <c r="F69" s="7">
        <f t="shared" si="34"/>
        <v>38.349999999999994</v>
      </c>
      <c r="G69" s="7">
        <f t="shared" si="34"/>
        <v>47.249999999999993</v>
      </c>
      <c r="H69" s="7">
        <f t="shared" si="34"/>
        <v>54.749999999999993</v>
      </c>
      <c r="I69" s="7">
        <f t="shared" si="34"/>
        <v>66.5</v>
      </c>
      <c r="J69" s="7">
        <f>B69</f>
        <v>0</v>
      </c>
    </row>
    <row r="70" spans="1:10" x14ac:dyDescent="0.25">
      <c r="A70" s="6" t="s">
        <v>36</v>
      </c>
      <c r="B70" s="7">
        <f>B64</f>
        <v>4.05</v>
      </c>
      <c r="C70" s="7">
        <f t="shared" ref="C70:I70" si="35">C64</f>
        <v>8.1</v>
      </c>
      <c r="D70" s="7">
        <f t="shared" si="35"/>
        <v>12.65</v>
      </c>
      <c r="E70" s="7">
        <f t="shared" si="35"/>
        <v>13.55</v>
      </c>
      <c r="F70" s="7">
        <f t="shared" si="35"/>
        <v>8.9</v>
      </c>
      <c r="G70" s="7">
        <f t="shared" si="35"/>
        <v>7.5</v>
      </c>
      <c r="H70" s="7">
        <f t="shared" si="35"/>
        <v>11.75</v>
      </c>
      <c r="I70" s="7">
        <f t="shared" si="35"/>
        <v>3.9999999999999947</v>
      </c>
      <c r="J70" s="7">
        <f>SUM(B70:I70)</f>
        <v>70.5</v>
      </c>
    </row>
    <row r="71" spans="1:10" x14ac:dyDescent="0.25">
      <c r="A71" s="6" t="s">
        <v>37</v>
      </c>
      <c r="B71" s="10">
        <f>B69+B70</f>
        <v>4.05</v>
      </c>
      <c r="C71" s="10">
        <f t="shared" ref="C71:I71" si="36">C69+C70</f>
        <v>12.149999999999999</v>
      </c>
      <c r="D71" s="10">
        <f t="shared" si="36"/>
        <v>24.799999999999997</v>
      </c>
      <c r="E71" s="10">
        <f t="shared" si="36"/>
        <v>38.349999999999994</v>
      </c>
      <c r="F71" s="10">
        <f t="shared" si="36"/>
        <v>47.249999999999993</v>
      </c>
      <c r="G71" s="10">
        <f t="shared" si="36"/>
        <v>54.749999999999993</v>
      </c>
      <c r="H71" s="10">
        <f t="shared" si="36"/>
        <v>66.5</v>
      </c>
      <c r="I71" s="10">
        <f t="shared" si="36"/>
        <v>70.5</v>
      </c>
      <c r="J71" s="10">
        <f>J69+J70</f>
        <v>70.5</v>
      </c>
    </row>
    <row r="72" spans="1:10" x14ac:dyDescent="0.25">
      <c r="A72" s="9" t="s">
        <v>39</v>
      </c>
      <c r="B72" s="11">
        <f>(B69+B71)/2</f>
        <v>2.0249999999999999</v>
      </c>
      <c r="C72" s="11">
        <f t="shared" ref="C72:I72" si="37">(C69+C71)/2</f>
        <v>8.1</v>
      </c>
      <c r="D72" s="11">
        <f t="shared" si="37"/>
        <v>18.474999999999998</v>
      </c>
      <c r="E72" s="11">
        <f t="shared" si="37"/>
        <v>31.574999999999996</v>
      </c>
      <c r="F72" s="11">
        <f t="shared" si="37"/>
        <v>42.8</v>
      </c>
      <c r="G72" s="11">
        <f t="shared" si="37"/>
        <v>50.999999999999993</v>
      </c>
      <c r="H72" s="11">
        <f t="shared" si="37"/>
        <v>60.625</v>
      </c>
      <c r="I72" s="11">
        <f t="shared" si="37"/>
        <v>68.5</v>
      </c>
      <c r="J72" s="11"/>
    </row>
    <row r="73" spans="1:10" x14ac:dyDescent="0.25">
      <c r="A73" s="9" t="s">
        <v>40</v>
      </c>
      <c r="B73" s="11">
        <f>B72*$B$75*3/12</f>
        <v>5.0625000000000003E-2</v>
      </c>
      <c r="C73" s="11">
        <f t="shared" ref="C73:I73" si="38">C72*$B$75*3/12</f>
        <v>0.20250000000000001</v>
      </c>
      <c r="D73" s="11">
        <f t="shared" si="38"/>
        <v>0.46187499999999998</v>
      </c>
      <c r="E73" s="11">
        <f t="shared" si="38"/>
        <v>0.78937500000000005</v>
      </c>
      <c r="F73" s="11">
        <f t="shared" si="38"/>
        <v>1.07</v>
      </c>
      <c r="G73" s="11">
        <f t="shared" si="38"/>
        <v>1.2749999999999999</v>
      </c>
      <c r="H73" s="11">
        <f t="shared" si="38"/>
        <v>1.515625</v>
      </c>
      <c r="I73" s="11">
        <f t="shared" si="38"/>
        <v>1.7125000000000001</v>
      </c>
      <c r="J73" s="11">
        <f>SUM(B73:I73)</f>
        <v>7.0775000000000006</v>
      </c>
    </row>
    <row r="75" spans="1:10" x14ac:dyDescent="0.25">
      <c r="A75" s="1" t="s">
        <v>38</v>
      </c>
      <c r="B75" s="3">
        <v>0.1</v>
      </c>
    </row>
    <row r="78" spans="1:10" ht="26.4" x14ac:dyDescent="0.25">
      <c r="A78" s="33" t="s">
        <v>41</v>
      </c>
      <c r="B78" s="15" t="s">
        <v>42</v>
      </c>
      <c r="C78" s="5" t="s">
        <v>43</v>
      </c>
      <c r="D78" s="5" t="s">
        <v>10</v>
      </c>
      <c r="E78" s="15" t="s">
        <v>47</v>
      </c>
      <c r="F78" s="5" t="s">
        <v>1</v>
      </c>
    </row>
    <row r="79" spans="1:10" x14ac:dyDescent="0.25">
      <c r="A79" s="33"/>
      <c r="B79" s="34" t="s">
        <v>44</v>
      </c>
      <c r="C79" s="34"/>
      <c r="D79" s="34"/>
      <c r="E79" s="34"/>
      <c r="F79" s="34"/>
    </row>
    <row r="80" spans="1:10" x14ac:dyDescent="0.25">
      <c r="A80" s="6" t="s">
        <v>45</v>
      </c>
      <c r="B80" s="8">
        <f>B6</f>
        <v>40</v>
      </c>
      <c r="C80" s="8">
        <f>B5</f>
        <v>10</v>
      </c>
      <c r="D80" s="8">
        <f>$B$8/2</f>
        <v>3.75</v>
      </c>
      <c r="E80" s="8">
        <f>$B$10/2</f>
        <v>3.5387500000000003</v>
      </c>
      <c r="F80" s="11">
        <f>SUM(B80:E80)</f>
        <v>57.28875</v>
      </c>
    </row>
    <row r="81" spans="1:6" x14ac:dyDescent="0.25">
      <c r="A81" s="6" t="s">
        <v>46</v>
      </c>
      <c r="B81" s="8">
        <f>B7</f>
        <v>50</v>
      </c>
      <c r="C81" s="8">
        <f>B5-C80</f>
        <v>0</v>
      </c>
      <c r="D81" s="8">
        <f>$B$8/2</f>
        <v>3.75</v>
      </c>
      <c r="E81" s="8">
        <f>$B$10/2</f>
        <v>3.5387500000000003</v>
      </c>
      <c r="F81" s="11">
        <f>SUM(B81:E81)</f>
        <v>57.28875</v>
      </c>
    </row>
    <row r="82" spans="1:6" x14ac:dyDescent="0.25">
      <c r="A82" s="9" t="s">
        <v>1</v>
      </c>
      <c r="B82" s="11">
        <f>SUM(B80:B81)</f>
        <v>90</v>
      </c>
      <c r="C82" s="11">
        <f t="shared" ref="C82:F82" si="39">SUM(C80:C81)</f>
        <v>10</v>
      </c>
      <c r="D82" s="11">
        <f t="shared" si="39"/>
        <v>7.5</v>
      </c>
      <c r="E82" s="11">
        <f t="shared" si="39"/>
        <v>7.0775000000000006</v>
      </c>
      <c r="F82" s="11">
        <f t="shared" si="39"/>
        <v>114.5775</v>
      </c>
    </row>
    <row r="84" spans="1:6" ht="26.4" x14ac:dyDescent="0.25">
      <c r="A84" s="20" t="s">
        <v>48</v>
      </c>
      <c r="C84" s="2" t="s">
        <v>98</v>
      </c>
    </row>
    <row r="85" spans="1:6" x14ac:dyDescent="0.25">
      <c r="A85" s="1" t="s">
        <v>49</v>
      </c>
      <c r="B85" s="1">
        <v>40</v>
      </c>
      <c r="C85" s="28">
        <f>F80/B85</f>
        <v>1.4322187500000001</v>
      </c>
    </row>
    <row r="86" spans="1:6" x14ac:dyDescent="0.25">
      <c r="A86" s="1" t="s">
        <v>50</v>
      </c>
      <c r="B86" s="1">
        <v>15</v>
      </c>
      <c r="C86" s="28">
        <f>F81/B86</f>
        <v>3.8192499999999998</v>
      </c>
    </row>
    <row r="87" spans="1:6" x14ac:dyDescent="0.25">
      <c r="C87" s="29">
        <f>SUM(C85:C86)</f>
        <v>5.2514687499999999</v>
      </c>
    </row>
    <row r="89" spans="1:6" x14ac:dyDescent="0.25">
      <c r="A89" s="20" t="s">
        <v>67</v>
      </c>
    </row>
    <row r="90" spans="1:6" x14ac:dyDescent="0.25">
      <c r="A90" s="6" t="s">
        <v>68</v>
      </c>
      <c r="B90" s="24">
        <v>0.55000000000000004</v>
      </c>
    </row>
    <row r="91" spans="1:6" x14ac:dyDescent="0.25">
      <c r="A91" s="6" t="s">
        <v>69</v>
      </c>
      <c r="B91" s="24">
        <v>0.3</v>
      </c>
    </row>
    <row r="92" spans="1:6" x14ac:dyDescent="0.25">
      <c r="A92" s="6" t="s">
        <v>70</v>
      </c>
      <c r="B92" s="24">
        <f>B93-SUM(B90:B91)</f>
        <v>0.14999999999999991</v>
      </c>
    </row>
    <row r="93" spans="1:6" x14ac:dyDescent="0.25">
      <c r="A93" s="9" t="s">
        <v>22</v>
      </c>
      <c r="B93" s="25">
        <v>1</v>
      </c>
    </row>
    <row r="95" spans="1:6" x14ac:dyDescent="0.25">
      <c r="A95" s="1" t="s">
        <v>71</v>
      </c>
      <c r="B95" s="1">
        <v>125</v>
      </c>
    </row>
    <row r="96" spans="1:6" x14ac:dyDescent="0.25">
      <c r="A96" s="1" t="s">
        <v>72</v>
      </c>
      <c r="B96" s="1">
        <v>365</v>
      </c>
    </row>
    <row r="97" spans="1:2" x14ac:dyDescent="0.25">
      <c r="A97" s="1" t="s">
        <v>73</v>
      </c>
      <c r="B97" s="26">
        <v>0.65</v>
      </c>
    </row>
    <row r="98" spans="1:2" x14ac:dyDescent="0.25">
      <c r="A98" s="1" t="s">
        <v>74</v>
      </c>
      <c r="B98" s="26">
        <v>2.5000000000000001E-2</v>
      </c>
    </row>
    <row r="99" spans="1:2" x14ac:dyDescent="0.25">
      <c r="A99" s="1" t="s">
        <v>76</v>
      </c>
      <c r="B99" s="27">
        <v>10000</v>
      </c>
    </row>
    <row r="100" spans="1:2" x14ac:dyDescent="0.25">
      <c r="A100" s="1" t="s">
        <v>78</v>
      </c>
      <c r="B100" s="26">
        <v>1.4999999999999999E-2</v>
      </c>
    </row>
    <row r="104" spans="1:2" x14ac:dyDescent="0.25">
      <c r="A104" s="20" t="s">
        <v>80</v>
      </c>
    </row>
    <row r="105" spans="1:2" x14ac:dyDescent="0.25">
      <c r="A105" s="1" t="s">
        <v>81</v>
      </c>
      <c r="B105" s="26">
        <v>7.4999999999999997E-2</v>
      </c>
    </row>
    <row r="106" spans="1:2" x14ac:dyDescent="0.25">
      <c r="A106" s="1" t="s">
        <v>82</v>
      </c>
      <c r="B106" s="26">
        <v>0.2</v>
      </c>
    </row>
    <row r="107" spans="1:2" x14ac:dyDescent="0.25">
      <c r="A107" s="1" t="s">
        <v>83</v>
      </c>
      <c r="B107" s="26">
        <v>0.06</v>
      </c>
    </row>
    <row r="108" spans="1:2" x14ac:dyDescent="0.25">
      <c r="A108" s="1" t="s">
        <v>84</v>
      </c>
      <c r="B108" s="26">
        <v>0.04</v>
      </c>
    </row>
    <row r="109" spans="1:2" x14ac:dyDescent="0.25">
      <c r="A109" s="1" t="s">
        <v>85</v>
      </c>
      <c r="B109" s="26">
        <v>0.05</v>
      </c>
    </row>
    <row r="111" spans="1:2" x14ac:dyDescent="0.25">
      <c r="A111" s="20" t="s">
        <v>86</v>
      </c>
    </row>
    <row r="112" spans="1:2" x14ac:dyDescent="0.25">
      <c r="A112" s="1" t="s">
        <v>87</v>
      </c>
      <c r="B112" s="3">
        <v>0.2</v>
      </c>
    </row>
    <row r="113" spans="1:4" x14ac:dyDescent="0.25">
      <c r="A113" s="1" t="s">
        <v>88</v>
      </c>
      <c r="B113" s="3">
        <v>0.1</v>
      </c>
    </row>
    <row r="115" spans="1:4" x14ac:dyDescent="0.25">
      <c r="A115" s="1" t="s">
        <v>102</v>
      </c>
      <c r="B115" s="3">
        <v>0.33</v>
      </c>
    </row>
    <row r="118" spans="1:4" x14ac:dyDescent="0.25">
      <c r="A118" s="12" t="s">
        <v>117</v>
      </c>
      <c r="B118" s="12" t="s">
        <v>15</v>
      </c>
      <c r="C118" s="12" t="s">
        <v>16</v>
      </c>
      <c r="D118" s="12" t="s">
        <v>22</v>
      </c>
    </row>
    <row r="119" spans="1:4" x14ac:dyDescent="0.25">
      <c r="A119" s="6" t="s">
        <v>118</v>
      </c>
      <c r="B119" s="8">
        <f>SUM(B31:E31)</f>
        <v>76.5</v>
      </c>
      <c r="C119" s="8">
        <f>SUM(F31:I31)</f>
        <v>50.999999999999993</v>
      </c>
      <c r="D119" s="8">
        <f>SUM(B119:C119)</f>
        <v>127.5</v>
      </c>
    </row>
    <row r="120" spans="1:4" x14ac:dyDescent="0.25">
      <c r="A120" s="6" t="s">
        <v>119</v>
      </c>
      <c r="B120" s="8">
        <f>SUM(B73:E73)</f>
        <v>1.504375</v>
      </c>
      <c r="C120" s="8">
        <f>SUM(F73:I73)</f>
        <v>5.5731250000000001</v>
      </c>
      <c r="D120" s="8">
        <f>SUM(B120:C120)</f>
        <v>7.0775000000000006</v>
      </c>
    </row>
    <row r="121" spans="1:4" x14ac:dyDescent="0.25">
      <c r="A121" s="9" t="s">
        <v>120</v>
      </c>
      <c r="B121" s="11">
        <f>SUM(B119:B120)</f>
        <v>78.004374999999996</v>
      </c>
      <c r="C121" s="11">
        <f t="shared" ref="C121:D121" si="40">SUM(C119:C120)</f>
        <v>56.57312499999999</v>
      </c>
      <c r="D121" s="11">
        <f t="shared" si="40"/>
        <v>134.57749999999999</v>
      </c>
    </row>
  </sheetData>
  <mergeCells count="20">
    <mergeCell ref="A78:A79"/>
    <mergeCell ref="B79:F79"/>
    <mergeCell ref="A67:A68"/>
    <mergeCell ref="B67:E67"/>
    <mergeCell ref="F67:I67"/>
    <mergeCell ref="J67:J68"/>
    <mergeCell ref="A24:A25"/>
    <mergeCell ref="B24:E24"/>
    <mergeCell ref="F24:I24"/>
    <mergeCell ref="J24:J25"/>
    <mergeCell ref="A36:A37"/>
    <mergeCell ref="B36:E36"/>
    <mergeCell ref="F36:I36"/>
    <mergeCell ref="J36:J37"/>
    <mergeCell ref="J15:J16"/>
    <mergeCell ref="A2:A3"/>
    <mergeCell ref="B3:E3"/>
    <mergeCell ref="B15:E15"/>
    <mergeCell ref="F15:I15"/>
    <mergeCell ref="A15:A16"/>
  </mergeCells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0F0C526-1C7E-49F6-A519-EBE89F6B9892}">
  <dimension ref="A2:M85"/>
  <sheetViews>
    <sheetView workbookViewId="0">
      <selection activeCell="B85" sqref="B85"/>
    </sheetView>
  </sheetViews>
  <sheetFormatPr defaultRowHeight="13.2" x14ac:dyDescent="0.25"/>
  <cols>
    <col min="1" max="1" width="44.21875" style="1" customWidth="1"/>
    <col min="2" max="10" width="10.21875" style="1" bestFit="1" customWidth="1"/>
    <col min="11" max="11" width="10.6640625" style="1" bestFit="1" customWidth="1"/>
    <col min="12" max="16384" width="8.88671875" style="1"/>
  </cols>
  <sheetData>
    <row r="2" spans="1:12" s="22" customFormat="1" x14ac:dyDescent="0.25">
      <c r="A2" s="32" t="s">
        <v>0</v>
      </c>
      <c r="B2" s="12" t="s">
        <v>51</v>
      </c>
      <c r="C2" s="12" t="s">
        <v>52</v>
      </c>
      <c r="D2" s="12" t="s">
        <v>53</v>
      </c>
      <c r="E2" s="12" t="s">
        <v>54</v>
      </c>
      <c r="F2" s="12" t="s">
        <v>55</v>
      </c>
      <c r="G2" s="12" t="s">
        <v>56</v>
      </c>
      <c r="H2" s="12" t="s">
        <v>57</v>
      </c>
      <c r="I2" s="12" t="s">
        <v>58</v>
      </c>
      <c r="J2" s="12" t="s">
        <v>59</v>
      </c>
      <c r="K2" s="12" t="s">
        <v>60</v>
      </c>
    </row>
    <row r="3" spans="1:12" x14ac:dyDescent="0.25">
      <c r="A3" s="32"/>
      <c r="B3" s="34" t="s">
        <v>61</v>
      </c>
      <c r="C3" s="34"/>
      <c r="D3" s="34"/>
      <c r="E3" s="34"/>
      <c r="F3" s="34"/>
      <c r="G3" s="34"/>
      <c r="H3" s="34"/>
      <c r="I3" s="34"/>
      <c r="J3" s="34"/>
      <c r="K3" s="34"/>
    </row>
    <row r="4" spans="1:12" x14ac:dyDescent="0.25">
      <c r="A4" s="14" t="s">
        <v>75</v>
      </c>
      <c r="B4" s="13">
        <f>'Assumption Sheet'!B97</f>
        <v>0.65</v>
      </c>
      <c r="C4" s="13">
        <f>IF(B4+'Assumption Sheet'!$B$98&gt;=80%,80%,'Project Income Statement'!B4+'Assumption Sheet'!$B$98)</f>
        <v>0.67500000000000004</v>
      </c>
      <c r="D4" s="13">
        <f>IF(C4+'Assumption Sheet'!$B$98&gt;=80%,80%,'Project Income Statement'!C4+'Assumption Sheet'!$B$98)</f>
        <v>0.70000000000000007</v>
      </c>
      <c r="E4" s="13">
        <f>IF(D4+'Assumption Sheet'!$B$98&gt;=80%,80%,'Project Income Statement'!D4+'Assumption Sheet'!$B$98)</f>
        <v>0.72500000000000009</v>
      </c>
      <c r="F4" s="13">
        <f>IF(E4+'Assumption Sheet'!$B$98&gt;=80%,80%,'Project Income Statement'!E4+'Assumption Sheet'!$B$98)</f>
        <v>0.75000000000000011</v>
      </c>
      <c r="G4" s="13">
        <f>IF(F4+'Assumption Sheet'!$B$98&gt;=80%,80%,'Project Income Statement'!F4+'Assumption Sheet'!$B$98)</f>
        <v>0.77500000000000013</v>
      </c>
      <c r="H4" s="13">
        <f>IF(G4+'Assumption Sheet'!$B$98&gt;=80%,80%,'Project Income Statement'!G4+'Assumption Sheet'!$B$98)</f>
        <v>0.8</v>
      </c>
      <c r="I4" s="13">
        <f>IF(H4+'Assumption Sheet'!$B$98&gt;=80%,80%,'Project Income Statement'!H4+'Assumption Sheet'!$B$98)</f>
        <v>0.8</v>
      </c>
      <c r="J4" s="13">
        <f>IF(I4+'Assumption Sheet'!$B$98&gt;=80%,80%,'Project Income Statement'!I4+'Assumption Sheet'!$B$98)</f>
        <v>0.8</v>
      </c>
      <c r="K4" s="13">
        <f>IF(J4+'Assumption Sheet'!$B$98&gt;=80%,80%,'Project Income Statement'!J4+'Assumption Sheet'!$B$98)</f>
        <v>0.8</v>
      </c>
    </row>
    <row r="5" spans="1:12" x14ac:dyDescent="0.25">
      <c r="A5" s="14" t="s">
        <v>77</v>
      </c>
      <c r="B5" s="31">
        <f>'Assumption Sheet'!B99</f>
        <v>10000</v>
      </c>
      <c r="C5" s="31">
        <f>B5+(B5*'Assumption Sheet'!$B$100)</f>
        <v>10150</v>
      </c>
      <c r="D5" s="31">
        <f>C5+(C5*'Assumption Sheet'!$B$100)</f>
        <v>10302.25</v>
      </c>
      <c r="E5" s="31">
        <f>D5+(D5*'Assumption Sheet'!$B$100)</f>
        <v>10456.783750000001</v>
      </c>
      <c r="F5" s="31">
        <f>E5+(E5*'Assumption Sheet'!$B$100)</f>
        <v>10613.635506250001</v>
      </c>
      <c r="G5" s="31">
        <f>F5+(F5*'Assumption Sheet'!$B$100)</f>
        <v>10772.840038843751</v>
      </c>
      <c r="H5" s="31">
        <f>G5+(G5*'Assumption Sheet'!$B$100)</f>
        <v>10934.432639426408</v>
      </c>
      <c r="I5" s="31">
        <f>H5+(H5*'Assumption Sheet'!$B$100)</f>
        <v>11098.449129017805</v>
      </c>
      <c r="J5" s="31">
        <f>I5+(I5*'Assumption Sheet'!$B$100)</f>
        <v>11264.925865953071</v>
      </c>
      <c r="K5" s="31">
        <f>J5+(J5*'Assumption Sheet'!$B$100)</f>
        <v>11433.899753942367</v>
      </c>
    </row>
    <row r="6" spans="1:12" x14ac:dyDescent="0.25">
      <c r="A6" s="21" t="s">
        <v>62</v>
      </c>
      <c r="B6" s="6"/>
      <c r="C6" s="6"/>
      <c r="D6" s="6"/>
      <c r="E6" s="6"/>
      <c r="F6" s="6"/>
      <c r="G6" s="6"/>
      <c r="H6" s="6"/>
      <c r="I6" s="6"/>
      <c r="J6" s="6"/>
      <c r="K6" s="6"/>
    </row>
    <row r="7" spans="1:12" x14ac:dyDescent="0.25">
      <c r="A7" s="6" t="s">
        <v>63</v>
      </c>
      <c r="B7" s="7">
        <f>'Assumption Sheet'!$B$95*'Assumption Sheet'!$B$96*'Project Income Statement'!B4*'Project Income Statement'!B5/10000000</f>
        <v>29.65625</v>
      </c>
      <c r="C7" s="7">
        <f>'Assumption Sheet'!$B$95*'Assumption Sheet'!$B$96*'Project Income Statement'!C4*'Project Income Statement'!C5/10000000</f>
        <v>31.258828125000004</v>
      </c>
      <c r="D7" s="7">
        <f>'Assumption Sheet'!$B$95*'Assumption Sheet'!$B$96*'Project Income Statement'!D4*'Project Income Statement'!D5/10000000</f>
        <v>32.902810937500007</v>
      </c>
      <c r="E7" s="7">
        <f>'Assumption Sheet'!$B$95*'Assumption Sheet'!$B$96*'Project Income Statement'!E4*'Project Income Statement'!E5/10000000</f>
        <v>34.589079998046884</v>
      </c>
      <c r="F7" s="7">
        <f>'Assumption Sheet'!$B$95*'Assumption Sheet'!$B$96*'Project Income Statement'!F4*'Project Income Statement'!F5/10000000</f>
        <v>36.318533997949231</v>
      </c>
      <c r="G7" s="7">
        <f>'Assumption Sheet'!$B$95*'Assumption Sheet'!$B$96*'Project Income Statement'!G4*'Project Income Statement'!G5/10000000</f>
        <v>38.092089074849085</v>
      </c>
      <c r="H7" s="7">
        <f>'Assumption Sheet'!$B$95*'Assumption Sheet'!$B$96*'Project Income Statement'!H4*'Project Income Statement'!H5/10000000</f>
        <v>39.910679133906392</v>
      </c>
      <c r="I7" s="7">
        <f>'Assumption Sheet'!$B$95*'Assumption Sheet'!$B$96*'Project Income Statement'!I4*'Project Income Statement'!I5/10000000</f>
        <v>40.509339320914989</v>
      </c>
      <c r="J7" s="7">
        <f>'Assumption Sheet'!$B$95*'Assumption Sheet'!$B$96*'Project Income Statement'!J4*'Project Income Statement'!J5/10000000</f>
        <v>41.11697941072871</v>
      </c>
      <c r="K7" s="7">
        <f>'Assumption Sheet'!$B$95*'Assumption Sheet'!$B$96*'Project Income Statement'!K4*'Project Income Statement'!K5/10000000</f>
        <v>41.733734101889638</v>
      </c>
      <c r="L7" s="3"/>
    </row>
    <row r="8" spans="1:12" x14ac:dyDescent="0.25">
      <c r="A8" s="6" t="s">
        <v>64</v>
      </c>
      <c r="B8" s="8">
        <f>B7*'Assumption Sheet'!$B$91/'Assumption Sheet'!$B$90</f>
        <v>16.176136363636363</v>
      </c>
      <c r="C8" s="8">
        <f>C7*'Assumption Sheet'!$B$91/'Assumption Sheet'!$B$90</f>
        <v>17.050269886363637</v>
      </c>
      <c r="D8" s="8">
        <f>D7*'Assumption Sheet'!$B$91/'Assumption Sheet'!$B$90</f>
        <v>17.946987784090911</v>
      </c>
      <c r="E8" s="8">
        <f>E7*'Assumption Sheet'!$B$91/'Assumption Sheet'!$B$90</f>
        <v>18.866770908025572</v>
      </c>
      <c r="F8" s="8">
        <f>F7*'Assumption Sheet'!$B$91/'Assumption Sheet'!$B$90</f>
        <v>19.810109453426854</v>
      </c>
      <c r="G8" s="8">
        <f>G7*'Assumption Sheet'!$B$91/'Assumption Sheet'!$B$90</f>
        <v>20.777503131735862</v>
      </c>
      <c r="H8" s="8">
        <f>H7*'Assumption Sheet'!$B$91/'Assumption Sheet'!$B$90</f>
        <v>21.76946134576712</v>
      </c>
      <c r="I8" s="8">
        <f>I7*'Assumption Sheet'!$B$91/'Assumption Sheet'!$B$90</f>
        <v>22.09600326595363</v>
      </c>
      <c r="J8" s="8">
        <f>J7*'Assumption Sheet'!$B$91/'Assumption Sheet'!$B$90</f>
        <v>22.427443314942931</v>
      </c>
      <c r="K8" s="8">
        <f>K7*'Assumption Sheet'!$B$91/'Assumption Sheet'!$B$90</f>
        <v>22.763854964667072</v>
      </c>
      <c r="L8" s="3"/>
    </row>
    <row r="9" spans="1:12" x14ac:dyDescent="0.25">
      <c r="A9" s="6" t="s">
        <v>65</v>
      </c>
      <c r="B9" s="8">
        <f>B7*'Assumption Sheet'!$B$92/'Assumption Sheet'!$B$90</f>
        <v>8.0880681818181763</v>
      </c>
      <c r="C9" s="8">
        <f>C7*'Assumption Sheet'!$B$92/'Assumption Sheet'!$B$90</f>
        <v>8.5251349431818131</v>
      </c>
      <c r="D9" s="8">
        <f>D7*'Assumption Sheet'!$B$92/'Assumption Sheet'!$B$90</f>
        <v>8.9734938920454503</v>
      </c>
      <c r="E9" s="8">
        <f>E7*'Assumption Sheet'!$B$92/'Assumption Sheet'!$B$90</f>
        <v>9.4333854540127806</v>
      </c>
      <c r="F9" s="8">
        <f>F7*'Assumption Sheet'!$B$92/'Assumption Sheet'!$B$90</f>
        <v>9.9050547267134199</v>
      </c>
      <c r="G9" s="8">
        <f>G7*'Assumption Sheet'!$B$92/'Assumption Sheet'!$B$90</f>
        <v>10.388751565867924</v>
      </c>
      <c r="H9" s="8">
        <f>H7*'Assumption Sheet'!$B$92/'Assumption Sheet'!$B$90</f>
        <v>10.884730672883554</v>
      </c>
      <c r="I9" s="8">
        <f>I7*'Assumption Sheet'!$B$92/'Assumption Sheet'!$B$90</f>
        <v>11.048001632976808</v>
      </c>
      <c r="J9" s="8">
        <f>J7*'Assumption Sheet'!$B$92/'Assumption Sheet'!$B$90</f>
        <v>11.213721657471458</v>
      </c>
      <c r="K9" s="8">
        <f>K7*'Assumption Sheet'!$B$92/'Assumption Sheet'!$B$90</f>
        <v>11.381927482333529</v>
      </c>
      <c r="L9" s="3"/>
    </row>
    <row r="10" spans="1:12" x14ac:dyDescent="0.25">
      <c r="A10" s="9" t="s">
        <v>66</v>
      </c>
      <c r="B10" s="10">
        <f>SUM(B7:B9)</f>
        <v>53.920454545454533</v>
      </c>
      <c r="C10" s="10">
        <f t="shared" ref="C10:K10" si="0">SUM(C7:C9)</f>
        <v>56.834232954545456</v>
      </c>
      <c r="D10" s="10">
        <f t="shared" si="0"/>
        <v>59.823292613636369</v>
      </c>
      <c r="E10" s="10">
        <f t="shared" si="0"/>
        <v>62.889236360085235</v>
      </c>
      <c r="F10" s="10">
        <f t="shared" si="0"/>
        <v>66.033698178089509</v>
      </c>
      <c r="G10" s="10">
        <f t="shared" si="0"/>
        <v>69.258343772452875</v>
      </c>
      <c r="H10" s="10">
        <f t="shared" si="0"/>
        <v>72.56487115255706</v>
      </c>
      <c r="I10" s="10">
        <f t="shared" si="0"/>
        <v>73.653344219845422</v>
      </c>
      <c r="J10" s="10">
        <f t="shared" si="0"/>
        <v>74.75814438314309</v>
      </c>
      <c r="K10" s="10">
        <f t="shared" si="0"/>
        <v>75.879516548890237</v>
      </c>
    </row>
    <row r="11" spans="1:12" x14ac:dyDescent="0.25">
      <c r="A11" s="21" t="s">
        <v>79</v>
      </c>
      <c r="B11" s="8"/>
      <c r="C11" s="6"/>
      <c r="D11" s="6"/>
      <c r="E11" s="6"/>
      <c r="F11" s="6"/>
      <c r="G11" s="6"/>
      <c r="H11" s="6"/>
      <c r="I11" s="6"/>
      <c r="J11" s="6"/>
      <c r="K11" s="6"/>
    </row>
    <row r="12" spans="1:12" x14ac:dyDescent="0.25">
      <c r="A12" s="21" t="s">
        <v>89</v>
      </c>
      <c r="B12" s="8"/>
      <c r="C12" s="6"/>
      <c r="D12" s="6"/>
      <c r="E12" s="6"/>
      <c r="F12" s="6"/>
      <c r="G12" s="6"/>
      <c r="H12" s="6"/>
      <c r="I12" s="6"/>
      <c r="J12" s="6"/>
      <c r="K12" s="6"/>
    </row>
    <row r="13" spans="1:12" x14ac:dyDescent="0.25">
      <c r="A13" s="6" t="s">
        <v>81</v>
      </c>
      <c r="B13" s="8">
        <f>B10*'Assumption Sheet'!$B$105</f>
        <v>4.0440340909090899</v>
      </c>
      <c r="C13" s="8">
        <f>C10*'Assumption Sheet'!$B$105</f>
        <v>4.2625674715909092</v>
      </c>
      <c r="D13" s="8">
        <f>D10*'Assumption Sheet'!$B$105</f>
        <v>4.4867469460227278</v>
      </c>
      <c r="E13" s="8">
        <f>E10*'Assumption Sheet'!$B$105</f>
        <v>4.7166927270063921</v>
      </c>
      <c r="F13" s="8">
        <f>F10*'Assumption Sheet'!$B$105</f>
        <v>4.9525273633567126</v>
      </c>
      <c r="G13" s="8">
        <f>G10*'Assumption Sheet'!$B$105</f>
        <v>5.1943757829339656</v>
      </c>
      <c r="H13" s="8">
        <f>H10*'Assumption Sheet'!$B$105</f>
        <v>5.442365336441779</v>
      </c>
      <c r="I13" s="8">
        <f>I10*'Assumption Sheet'!$B$105</f>
        <v>5.5240008164884067</v>
      </c>
      <c r="J13" s="8">
        <f>J10*'Assumption Sheet'!$B$105</f>
        <v>5.6068608287357318</v>
      </c>
      <c r="K13" s="8">
        <f>K10*'Assumption Sheet'!$B$105</f>
        <v>5.690963741166768</v>
      </c>
    </row>
    <row r="14" spans="1:12" x14ac:dyDescent="0.25">
      <c r="A14" s="6" t="s">
        <v>82</v>
      </c>
      <c r="B14" s="8">
        <f>B10*'Assumption Sheet'!$B$106</f>
        <v>10.784090909090907</v>
      </c>
      <c r="C14" s="8">
        <f>C10*'Assumption Sheet'!$B$106</f>
        <v>11.366846590909091</v>
      </c>
      <c r="D14" s="8">
        <f>D10*'Assumption Sheet'!$B$106</f>
        <v>11.964658522727275</v>
      </c>
      <c r="E14" s="8">
        <f>E10*'Assumption Sheet'!$B$106</f>
        <v>12.577847272017047</v>
      </c>
      <c r="F14" s="8">
        <f>F10*'Assumption Sheet'!$B$106</f>
        <v>13.206739635617902</v>
      </c>
      <c r="G14" s="8">
        <f>G10*'Assumption Sheet'!$B$106</f>
        <v>13.851668754490575</v>
      </c>
      <c r="H14" s="8">
        <f>H10*'Assumption Sheet'!$B$106</f>
        <v>14.512974230511412</v>
      </c>
      <c r="I14" s="8">
        <f>I10*'Assumption Sheet'!$B$106</f>
        <v>14.730668843969084</v>
      </c>
      <c r="J14" s="8">
        <f>J10*'Assumption Sheet'!$B$106</f>
        <v>14.951628876628618</v>
      </c>
      <c r="K14" s="8">
        <f>K10*'Assumption Sheet'!$B$106</f>
        <v>15.175903309778048</v>
      </c>
    </row>
    <row r="15" spans="1:12" x14ac:dyDescent="0.25">
      <c r="A15" s="6" t="s">
        <v>83</v>
      </c>
      <c r="B15" s="8">
        <f>B10*'Assumption Sheet'!$B$107</f>
        <v>3.235227272727272</v>
      </c>
      <c r="C15" s="8">
        <f>C10*'Assumption Sheet'!$B$107</f>
        <v>3.4100539772727272</v>
      </c>
      <c r="D15" s="8">
        <f>D10*'Assumption Sheet'!$B$107</f>
        <v>3.5893975568181822</v>
      </c>
      <c r="E15" s="8">
        <f>E10*'Assumption Sheet'!$B$107</f>
        <v>3.7733541816051139</v>
      </c>
      <c r="F15" s="8">
        <f>F10*'Assumption Sheet'!$B$107</f>
        <v>3.9620218906853704</v>
      </c>
      <c r="G15" s="8">
        <f>G10*'Assumption Sheet'!$B$107</f>
        <v>4.1555006263471723</v>
      </c>
      <c r="H15" s="8">
        <f>H10*'Assumption Sheet'!$B$107</f>
        <v>4.3538922691534232</v>
      </c>
      <c r="I15" s="8">
        <f>I10*'Assumption Sheet'!$B$107</f>
        <v>4.4192006531907255</v>
      </c>
      <c r="J15" s="8">
        <f>J10*'Assumption Sheet'!$B$107</f>
        <v>4.4854886629885851</v>
      </c>
      <c r="K15" s="8">
        <f>K10*'Assumption Sheet'!$B$107</f>
        <v>4.5527709929334144</v>
      </c>
    </row>
    <row r="16" spans="1:12" x14ac:dyDescent="0.25">
      <c r="A16" s="6" t="s">
        <v>84</v>
      </c>
      <c r="B16" s="8">
        <f>B10*'Assumption Sheet'!$B$108</f>
        <v>2.1568181818181813</v>
      </c>
      <c r="C16" s="8">
        <f>C10*'Assumption Sheet'!$B$108</f>
        <v>2.2733693181818184</v>
      </c>
      <c r="D16" s="8">
        <f>D10*'Assumption Sheet'!$B$108</f>
        <v>2.3929317045454548</v>
      </c>
      <c r="E16" s="8">
        <f>E10*'Assumption Sheet'!$B$108</f>
        <v>2.5155694544034093</v>
      </c>
      <c r="F16" s="8">
        <f>F10*'Assumption Sheet'!$B$108</f>
        <v>2.6413479271235802</v>
      </c>
      <c r="G16" s="8">
        <f>G10*'Assumption Sheet'!$B$108</f>
        <v>2.7703337508981152</v>
      </c>
      <c r="H16" s="8">
        <f>H10*'Assumption Sheet'!$B$108</f>
        <v>2.9025948461022826</v>
      </c>
      <c r="I16" s="8">
        <f>I10*'Assumption Sheet'!$B$108</f>
        <v>2.9461337687938172</v>
      </c>
      <c r="J16" s="8">
        <f>J10*'Assumption Sheet'!$B$108</f>
        <v>2.9903257753257235</v>
      </c>
      <c r="K16" s="8">
        <f>K10*'Assumption Sheet'!$B$108</f>
        <v>3.0351806619556094</v>
      </c>
    </row>
    <row r="17" spans="1:11" x14ac:dyDescent="0.25">
      <c r="A17" s="6" t="s">
        <v>85</v>
      </c>
      <c r="B17" s="8">
        <f>B7*'Assumption Sheet'!$B$109</f>
        <v>1.4828125000000001</v>
      </c>
      <c r="C17" s="8">
        <f>C7*'Assumption Sheet'!$B$109</f>
        <v>1.5629414062500002</v>
      </c>
      <c r="D17" s="8">
        <f>D7*'Assumption Sheet'!$B$109</f>
        <v>1.6451405468750004</v>
      </c>
      <c r="E17" s="8">
        <f>E7*'Assumption Sheet'!$B$109</f>
        <v>1.7294539999023444</v>
      </c>
      <c r="F17" s="8">
        <f>F7*'Assumption Sheet'!$B$109</f>
        <v>1.8159266998974617</v>
      </c>
      <c r="G17" s="8">
        <f>G7*'Assumption Sheet'!$B$109</f>
        <v>1.9046044537424542</v>
      </c>
      <c r="H17" s="8">
        <f>H7*'Assumption Sheet'!$B$109</f>
        <v>1.9955339566953196</v>
      </c>
      <c r="I17" s="8">
        <f>I7*'Assumption Sheet'!$B$109</f>
        <v>2.0254669660457494</v>
      </c>
      <c r="J17" s="8">
        <f>J7*'Assumption Sheet'!$B$109</f>
        <v>2.0558489705364358</v>
      </c>
      <c r="K17" s="8">
        <f>K7*'Assumption Sheet'!$B$109</f>
        <v>2.0866867050944822</v>
      </c>
    </row>
    <row r="18" spans="1:11" x14ac:dyDescent="0.25">
      <c r="A18" s="9" t="s">
        <v>90</v>
      </c>
      <c r="B18" s="11">
        <f>SUM(B13:B17)</f>
        <v>21.702982954545451</v>
      </c>
      <c r="C18" s="11">
        <f t="shared" ref="C18:K18" si="1">SUM(C13:C17)</f>
        <v>22.875778764204547</v>
      </c>
      <c r="D18" s="11">
        <f t="shared" si="1"/>
        <v>24.07887527698864</v>
      </c>
      <c r="E18" s="11">
        <f t="shared" si="1"/>
        <v>25.312917634934305</v>
      </c>
      <c r="F18" s="11">
        <f t="shared" si="1"/>
        <v>26.578563516681026</v>
      </c>
      <c r="G18" s="11">
        <f t="shared" si="1"/>
        <v>27.876483368412284</v>
      </c>
      <c r="H18" s="11">
        <f t="shared" si="1"/>
        <v>29.207360638904216</v>
      </c>
      <c r="I18" s="11">
        <f t="shared" si="1"/>
        <v>29.645471048487781</v>
      </c>
      <c r="J18" s="11">
        <f t="shared" si="1"/>
        <v>30.090153114215095</v>
      </c>
      <c r="K18" s="11">
        <f t="shared" si="1"/>
        <v>30.541505410928323</v>
      </c>
    </row>
    <row r="19" spans="1:11" x14ac:dyDescent="0.25">
      <c r="A19" s="21" t="s">
        <v>86</v>
      </c>
      <c r="B19" s="6"/>
      <c r="C19" s="6"/>
      <c r="D19" s="6"/>
      <c r="E19" s="6"/>
      <c r="F19" s="6"/>
      <c r="G19" s="6"/>
      <c r="H19" s="6"/>
      <c r="I19" s="6"/>
      <c r="J19" s="6"/>
      <c r="K19" s="6"/>
    </row>
    <row r="20" spans="1:11" x14ac:dyDescent="0.25">
      <c r="A20" s="6" t="s">
        <v>87</v>
      </c>
      <c r="B20" s="8">
        <f>B10*'Assumption Sheet'!B112</f>
        <v>10.784090909090907</v>
      </c>
      <c r="C20" s="8">
        <f>B20*(1+'Assumption Sheet'!$B$113)</f>
        <v>11.862499999999999</v>
      </c>
      <c r="D20" s="8">
        <f>C20*(1+'Assumption Sheet'!$B$113)</f>
        <v>13.04875</v>
      </c>
      <c r="E20" s="8">
        <f>D20*(1+'Assumption Sheet'!$B$113)</f>
        <v>14.353625000000001</v>
      </c>
      <c r="F20" s="8">
        <f>E20*(1+'Assumption Sheet'!$B$113)</f>
        <v>15.788987500000003</v>
      </c>
      <c r="G20" s="8">
        <f>F20*(1+'Assumption Sheet'!$B$113)</f>
        <v>17.367886250000005</v>
      </c>
      <c r="H20" s="8">
        <f>G20*(1+'Assumption Sheet'!$B$113)</f>
        <v>19.104674875000008</v>
      </c>
      <c r="I20" s="8">
        <f>H20*(1+'Assumption Sheet'!$B$113)</f>
        <v>21.015142362500011</v>
      </c>
      <c r="J20" s="8">
        <f>I20*(1+'Assumption Sheet'!$B$113)</f>
        <v>23.116656598750016</v>
      </c>
      <c r="K20" s="8">
        <f>J20*(1+'Assumption Sheet'!$B$113)</f>
        <v>25.42832225862502</v>
      </c>
    </row>
    <row r="21" spans="1:11" x14ac:dyDescent="0.25">
      <c r="A21" s="6" t="s">
        <v>91</v>
      </c>
      <c r="B21" s="8">
        <f>'Assumption Sheet'!$C$87</f>
        <v>5.2514687499999999</v>
      </c>
      <c r="C21" s="8">
        <f>'Assumption Sheet'!$C$87</f>
        <v>5.2514687499999999</v>
      </c>
      <c r="D21" s="8">
        <f>'Assumption Sheet'!$C$87</f>
        <v>5.2514687499999999</v>
      </c>
      <c r="E21" s="8">
        <f>'Assumption Sheet'!$C$87</f>
        <v>5.2514687499999999</v>
      </c>
      <c r="F21" s="8">
        <f>'Assumption Sheet'!$C$87</f>
        <v>5.2514687499999999</v>
      </c>
      <c r="G21" s="8">
        <f>'Assumption Sheet'!$C$87</f>
        <v>5.2514687499999999</v>
      </c>
      <c r="H21" s="8">
        <f>'Assumption Sheet'!$C$87</f>
        <v>5.2514687499999999</v>
      </c>
      <c r="I21" s="8">
        <f>'Assumption Sheet'!$C$87</f>
        <v>5.2514687499999999</v>
      </c>
      <c r="J21" s="8">
        <f>'Assumption Sheet'!$C$87</f>
        <v>5.2514687499999999</v>
      </c>
      <c r="K21" s="8">
        <f>'Assumption Sheet'!$C$87</f>
        <v>5.2514687499999999</v>
      </c>
    </row>
    <row r="22" spans="1:11" x14ac:dyDescent="0.25">
      <c r="A22" s="6" t="s">
        <v>92</v>
      </c>
      <c r="B22" s="8">
        <f>B39</f>
        <v>6.9618750000000009</v>
      </c>
      <c r="C22" s="8">
        <f t="shared" ref="C22:K22" si="2">C39</f>
        <v>6.6974999999999998</v>
      </c>
      <c r="D22" s="8">
        <f t="shared" si="2"/>
        <v>6.256875</v>
      </c>
      <c r="E22" s="8">
        <f t="shared" si="2"/>
        <v>5.64</v>
      </c>
      <c r="F22" s="8">
        <f t="shared" si="2"/>
        <v>4.8468749999999989</v>
      </c>
      <c r="G22" s="8">
        <f t="shared" si="2"/>
        <v>3.9656249999999988</v>
      </c>
      <c r="H22" s="8">
        <f t="shared" si="2"/>
        <v>3.0843749999999988</v>
      </c>
      <c r="I22" s="8">
        <f t="shared" si="2"/>
        <v>2.2031249999999987</v>
      </c>
      <c r="J22" s="8">
        <f t="shared" si="2"/>
        <v>1.3218749999999986</v>
      </c>
      <c r="K22" s="8">
        <f t="shared" si="2"/>
        <v>0.4406249999999986</v>
      </c>
    </row>
    <row r="23" spans="1:11" x14ac:dyDescent="0.25">
      <c r="A23" s="9" t="s">
        <v>93</v>
      </c>
      <c r="B23" s="10">
        <f>SUM(B20:B22)</f>
        <v>22.997434659090906</v>
      </c>
      <c r="C23" s="10">
        <f t="shared" ref="C23:K23" si="3">SUM(C20:C22)</f>
        <v>23.811468749999996</v>
      </c>
      <c r="D23" s="10">
        <f t="shared" si="3"/>
        <v>24.55709375</v>
      </c>
      <c r="E23" s="10">
        <f t="shared" si="3"/>
        <v>25.245093750000002</v>
      </c>
      <c r="F23" s="10">
        <f t="shared" si="3"/>
        <v>25.887331250000003</v>
      </c>
      <c r="G23" s="10">
        <f t="shared" si="3"/>
        <v>26.584980000000005</v>
      </c>
      <c r="H23" s="10">
        <f t="shared" si="3"/>
        <v>27.440518625000006</v>
      </c>
      <c r="I23" s="10">
        <f t="shared" si="3"/>
        <v>28.469736112500012</v>
      </c>
      <c r="J23" s="10">
        <f t="shared" si="3"/>
        <v>29.690000348750015</v>
      </c>
      <c r="K23" s="10">
        <f t="shared" si="3"/>
        <v>31.120416008625018</v>
      </c>
    </row>
    <row r="24" spans="1:11" x14ac:dyDescent="0.25">
      <c r="A24" s="9" t="s">
        <v>94</v>
      </c>
      <c r="B24" s="11">
        <f>B23+B18</f>
        <v>44.700417613636361</v>
      </c>
      <c r="C24" s="11">
        <f t="shared" ref="C24:K24" si="4">C23+C18</f>
        <v>46.687247514204543</v>
      </c>
      <c r="D24" s="11">
        <f t="shared" si="4"/>
        <v>48.63596902698864</v>
      </c>
      <c r="E24" s="11">
        <f t="shared" si="4"/>
        <v>50.558011384934304</v>
      </c>
      <c r="F24" s="11">
        <f t="shared" si="4"/>
        <v>52.465894766681032</v>
      </c>
      <c r="G24" s="11">
        <f t="shared" si="4"/>
        <v>54.461463368412289</v>
      </c>
      <c r="H24" s="11">
        <f t="shared" si="4"/>
        <v>56.647879263904223</v>
      </c>
      <c r="I24" s="11">
        <f t="shared" si="4"/>
        <v>58.115207160987794</v>
      </c>
      <c r="J24" s="11">
        <f t="shared" si="4"/>
        <v>59.78015346296511</v>
      </c>
      <c r="K24" s="11">
        <f t="shared" si="4"/>
        <v>61.661921419553337</v>
      </c>
    </row>
    <row r="25" spans="1:11" x14ac:dyDescent="0.25">
      <c r="A25" s="9" t="s">
        <v>95</v>
      </c>
      <c r="B25" s="11">
        <f>B10-B24</f>
        <v>9.2200369318181714</v>
      </c>
      <c r="C25" s="11">
        <f t="shared" ref="C25:K25" si="5">C10-C24</f>
        <v>10.146985440340913</v>
      </c>
      <c r="D25" s="11">
        <f t="shared" si="5"/>
        <v>11.187323586647729</v>
      </c>
      <c r="E25" s="11">
        <f t="shared" si="5"/>
        <v>12.331224975150931</v>
      </c>
      <c r="F25" s="11">
        <f t="shared" si="5"/>
        <v>13.567803411408477</v>
      </c>
      <c r="G25" s="11">
        <f t="shared" si="5"/>
        <v>14.796880404040586</v>
      </c>
      <c r="H25" s="11">
        <f t="shared" si="5"/>
        <v>15.916991888652838</v>
      </c>
      <c r="I25" s="11">
        <f t="shared" si="5"/>
        <v>15.538137058857629</v>
      </c>
      <c r="J25" s="11">
        <f t="shared" si="5"/>
        <v>14.97799092017798</v>
      </c>
      <c r="K25" s="11">
        <f t="shared" si="5"/>
        <v>14.2175951293369</v>
      </c>
    </row>
    <row r="26" spans="1:11" x14ac:dyDescent="0.25">
      <c r="A26" s="6" t="s">
        <v>96</v>
      </c>
      <c r="B26" s="8">
        <f>B25*'Assumption Sheet'!$B$115</f>
        <v>3.0426121874999965</v>
      </c>
      <c r="C26" s="8">
        <f>C25*'Assumption Sheet'!$B$115</f>
        <v>3.3485051953125016</v>
      </c>
      <c r="D26" s="8">
        <f>D25*'Assumption Sheet'!$B$115</f>
        <v>3.6918167835937505</v>
      </c>
      <c r="E26" s="8">
        <f>E25*'Assumption Sheet'!$B$115</f>
        <v>4.0693042417998075</v>
      </c>
      <c r="F26" s="8">
        <f>F25*'Assumption Sheet'!$B$115</f>
        <v>4.4773751257647971</v>
      </c>
      <c r="G26" s="8">
        <f>G25*'Assumption Sheet'!$B$115</f>
        <v>4.8829705333333937</v>
      </c>
      <c r="H26" s="8">
        <f>H25*'Assumption Sheet'!$B$115</f>
        <v>5.2526073232554369</v>
      </c>
      <c r="I26" s="8">
        <f>I25*'Assumption Sheet'!$B$115</f>
        <v>5.1275852294230182</v>
      </c>
      <c r="J26" s="8">
        <f>J25*'Assumption Sheet'!$B$115</f>
        <v>4.9427370036587339</v>
      </c>
      <c r="K26" s="8">
        <f>K25*'Assumption Sheet'!$B$115</f>
        <v>4.6918063926811771</v>
      </c>
    </row>
    <row r="27" spans="1:11" x14ac:dyDescent="0.25">
      <c r="A27" s="9" t="s">
        <v>97</v>
      </c>
      <c r="B27" s="11">
        <f>B25-B26</f>
        <v>6.1774247443181753</v>
      </c>
      <c r="C27" s="11">
        <f t="shared" ref="C27:K27" si="6">C25-C26</f>
        <v>6.7984802450284114</v>
      </c>
      <c r="D27" s="11">
        <f t="shared" si="6"/>
        <v>7.4955068030539778</v>
      </c>
      <c r="E27" s="11">
        <f t="shared" si="6"/>
        <v>8.2619207333511238</v>
      </c>
      <c r="F27" s="11">
        <f t="shared" si="6"/>
        <v>9.0904282856436787</v>
      </c>
      <c r="G27" s="11">
        <f t="shared" si="6"/>
        <v>9.913909870707192</v>
      </c>
      <c r="H27" s="11">
        <f t="shared" si="6"/>
        <v>10.664384565397402</v>
      </c>
      <c r="I27" s="11">
        <f t="shared" si="6"/>
        <v>10.41055182943461</v>
      </c>
      <c r="J27" s="11">
        <f t="shared" si="6"/>
        <v>10.035253916519245</v>
      </c>
      <c r="K27" s="11">
        <f t="shared" si="6"/>
        <v>9.5257887366557235</v>
      </c>
    </row>
    <row r="31" spans="1:11" x14ac:dyDescent="0.25">
      <c r="A31" s="4" t="s">
        <v>99</v>
      </c>
    </row>
    <row r="32" spans="1:11" x14ac:dyDescent="0.25">
      <c r="A32" s="32" t="s">
        <v>0</v>
      </c>
      <c r="B32" s="12" t="s">
        <v>51</v>
      </c>
      <c r="C32" s="12" t="s">
        <v>52</v>
      </c>
      <c r="D32" s="12" t="s">
        <v>53</v>
      </c>
      <c r="E32" s="12" t="s">
        <v>54</v>
      </c>
      <c r="F32" s="12" t="s">
        <v>55</v>
      </c>
      <c r="G32" s="12" t="s">
        <v>56</v>
      </c>
      <c r="H32" s="12" t="s">
        <v>57</v>
      </c>
      <c r="I32" s="12" t="s">
        <v>58</v>
      </c>
      <c r="J32" s="12" t="s">
        <v>59</v>
      </c>
      <c r="K32" s="12" t="s">
        <v>60</v>
      </c>
    </row>
    <row r="33" spans="1:11" x14ac:dyDescent="0.25">
      <c r="A33" s="32"/>
      <c r="B33" s="34" t="s">
        <v>61</v>
      </c>
      <c r="C33" s="34"/>
      <c r="D33" s="34"/>
      <c r="E33" s="34"/>
      <c r="F33" s="34"/>
      <c r="G33" s="34"/>
      <c r="H33" s="34"/>
      <c r="I33" s="34"/>
      <c r="J33" s="34"/>
      <c r="K33" s="34"/>
    </row>
    <row r="34" spans="1:11" x14ac:dyDescent="0.25">
      <c r="A34" s="14" t="s">
        <v>101</v>
      </c>
      <c r="B34" s="30">
        <v>2.5000000000000001E-2</v>
      </c>
      <c r="C34" s="30">
        <v>0.05</v>
      </c>
      <c r="D34" s="30">
        <v>7.4999999999999997E-2</v>
      </c>
      <c r="E34" s="30">
        <v>0.1</v>
      </c>
      <c r="F34" s="30">
        <v>0.125</v>
      </c>
      <c r="G34" s="30">
        <v>0.125</v>
      </c>
      <c r="H34" s="30">
        <v>0.125</v>
      </c>
      <c r="I34" s="30">
        <v>0.125</v>
      </c>
      <c r="J34" s="30">
        <v>0.125</v>
      </c>
      <c r="K34" s="30">
        <f>1-SUM(B34:J34)</f>
        <v>0.125</v>
      </c>
    </row>
    <row r="35" spans="1:11" x14ac:dyDescent="0.25">
      <c r="A35" s="6" t="s">
        <v>35</v>
      </c>
      <c r="B35" s="8">
        <f>'Assumption Sheet'!E11</f>
        <v>70.5</v>
      </c>
      <c r="C35" s="8">
        <f>B37</f>
        <v>68.737499999999997</v>
      </c>
      <c r="D35" s="8">
        <f t="shared" ref="D35:K35" si="7">C37</f>
        <v>65.212499999999991</v>
      </c>
      <c r="E35" s="8">
        <f t="shared" si="7"/>
        <v>59.92499999999999</v>
      </c>
      <c r="F35" s="8">
        <f t="shared" si="7"/>
        <v>52.874999999999986</v>
      </c>
      <c r="G35" s="8">
        <f t="shared" si="7"/>
        <v>44.062499999999986</v>
      </c>
      <c r="H35" s="8">
        <f t="shared" si="7"/>
        <v>35.249999999999986</v>
      </c>
      <c r="I35" s="8">
        <f t="shared" si="7"/>
        <v>26.437499999999986</v>
      </c>
      <c r="J35" s="8">
        <f t="shared" si="7"/>
        <v>17.624999999999986</v>
      </c>
      <c r="K35" s="8">
        <f t="shared" si="7"/>
        <v>8.8124999999999858</v>
      </c>
    </row>
    <row r="36" spans="1:11" x14ac:dyDescent="0.25">
      <c r="A36" s="6" t="s">
        <v>100</v>
      </c>
      <c r="B36" s="8">
        <f>$B$35*B34</f>
        <v>1.7625000000000002</v>
      </c>
      <c r="C36" s="8">
        <f t="shared" ref="C36:K36" si="8">$B$35*C34</f>
        <v>3.5250000000000004</v>
      </c>
      <c r="D36" s="8">
        <f t="shared" si="8"/>
        <v>5.2874999999999996</v>
      </c>
      <c r="E36" s="8">
        <f t="shared" si="8"/>
        <v>7.0500000000000007</v>
      </c>
      <c r="F36" s="8">
        <f t="shared" si="8"/>
        <v>8.8125</v>
      </c>
      <c r="G36" s="8">
        <f t="shared" si="8"/>
        <v>8.8125</v>
      </c>
      <c r="H36" s="8">
        <f t="shared" si="8"/>
        <v>8.8125</v>
      </c>
      <c r="I36" s="8">
        <f t="shared" si="8"/>
        <v>8.8125</v>
      </c>
      <c r="J36" s="8">
        <f t="shared" si="8"/>
        <v>8.8125</v>
      </c>
      <c r="K36" s="8">
        <f t="shared" si="8"/>
        <v>8.8125</v>
      </c>
    </row>
    <row r="37" spans="1:11" x14ac:dyDescent="0.25">
      <c r="A37" s="6" t="s">
        <v>37</v>
      </c>
      <c r="B37" s="8">
        <f>B35-B36</f>
        <v>68.737499999999997</v>
      </c>
      <c r="C37" s="8">
        <f t="shared" ref="C37:K37" si="9">C35-C36</f>
        <v>65.212499999999991</v>
      </c>
      <c r="D37" s="8">
        <f t="shared" si="9"/>
        <v>59.92499999999999</v>
      </c>
      <c r="E37" s="8">
        <f t="shared" si="9"/>
        <v>52.874999999999986</v>
      </c>
      <c r="F37" s="8">
        <f t="shared" si="9"/>
        <v>44.062499999999986</v>
      </c>
      <c r="G37" s="8">
        <f t="shared" si="9"/>
        <v>35.249999999999986</v>
      </c>
      <c r="H37" s="8">
        <f t="shared" si="9"/>
        <v>26.437499999999986</v>
      </c>
      <c r="I37" s="8">
        <f t="shared" si="9"/>
        <v>17.624999999999986</v>
      </c>
      <c r="J37" s="8">
        <f t="shared" si="9"/>
        <v>8.8124999999999858</v>
      </c>
      <c r="K37" s="8">
        <f t="shared" si="9"/>
        <v>-1.4210854715202004E-14</v>
      </c>
    </row>
    <row r="38" spans="1:11" x14ac:dyDescent="0.25">
      <c r="A38" s="6" t="s">
        <v>39</v>
      </c>
      <c r="B38" s="8">
        <f>(B35+B37)/2</f>
        <v>69.618750000000006</v>
      </c>
      <c r="C38" s="8">
        <f t="shared" ref="C38:K38" si="10">(C35+C37)/2</f>
        <v>66.974999999999994</v>
      </c>
      <c r="D38" s="8">
        <f t="shared" si="10"/>
        <v>62.568749999999994</v>
      </c>
      <c r="E38" s="8">
        <f t="shared" si="10"/>
        <v>56.399999999999991</v>
      </c>
      <c r="F38" s="8">
        <f t="shared" si="10"/>
        <v>48.468749999999986</v>
      </c>
      <c r="G38" s="8">
        <f t="shared" si="10"/>
        <v>39.656249999999986</v>
      </c>
      <c r="H38" s="8">
        <f t="shared" si="10"/>
        <v>30.843749999999986</v>
      </c>
      <c r="I38" s="8">
        <f t="shared" si="10"/>
        <v>22.031249999999986</v>
      </c>
      <c r="J38" s="8">
        <f t="shared" si="10"/>
        <v>13.218749999999986</v>
      </c>
      <c r="K38" s="8">
        <f t="shared" si="10"/>
        <v>4.4062499999999858</v>
      </c>
    </row>
    <row r="39" spans="1:11" x14ac:dyDescent="0.25">
      <c r="A39" s="6" t="s">
        <v>92</v>
      </c>
      <c r="B39" s="8">
        <f>B38*'Assumption Sheet'!$B$75</f>
        <v>6.9618750000000009</v>
      </c>
      <c r="C39" s="8">
        <f>C38*'Assumption Sheet'!$B$75</f>
        <v>6.6974999999999998</v>
      </c>
      <c r="D39" s="8">
        <f>D38*'Assumption Sheet'!$B$75</f>
        <v>6.256875</v>
      </c>
      <c r="E39" s="8">
        <f>E38*'Assumption Sheet'!$B$75</f>
        <v>5.64</v>
      </c>
      <c r="F39" s="8">
        <f>F38*'Assumption Sheet'!$B$75</f>
        <v>4.8468749999999989</v>
      </c>
      <c r="G39" s="8">
        <f>G38*'Assumption Sheet'!$B$75</f>
        <v>3.9656249999999988</v>
      </c>
      <c r="H39" s="8">
        <f>H38*'Assumption Sheet'!$B$75</f>
        <v>3.0843749999999988</v>
      </c>
      <c r="I39" s="8">
        <f>I38*'Assumption Sheet'!$B$75</f>
        <v>2.2031249999999987</v>
      </c>
      <c r="J39" s="8">
        <f>J38*'Assumption Sheet'!$B$75</f>
        <v>1.3218749999999986</v>
      </c>
      <c r="K39" s="8">
        <f>K38*'Assumption Sheet'!$B$75</f>
        <v>0.4406249999999986</v>
      </c>
    </row>
    <row r="41" spans="1:11" x14ac:dyDescent="0.25">
      <c r="A41" s="20" t="s">
        <v>103</v>
      </c>
    </row>
    <row r="42" spans="1:11" x14ac:dyDescent="0.25">
      <c r="A42" s="32" t="s">
        <v>0</v>
      </c>
      <c r="B42" s="12" t="s">
        <v>51</v>
      </c>
      <c r="C42" s="12" t="s">
        <v>52</v>
      </c>
      <c r="D42" s="12" t="s">
        <v>53</v>
      </c>
      <c r="E42" s="12" t="s">
        <v>54</v>
      </c>
      <c r="F42" s="12" t="s">
        <v>55</v>
      </c>
      <c r="G42" s="12" t="s">
        <v>56</v>
      </c>
      <c r="H42" s="12" t="s">
        <v>57</v>
      </c>
      <c r="I42" s="12" t="s">
        <v>58</v>
      </c>
      <c r="J42" s="12" t="s">
        <v>59</v>
      </c>
      <c r="K42" s="12" t="s">
        <v>60</v>
      </c>
    </row>
    <row r="43" spans="1:11" x14ac:dyDescent="0.25">
      <c r="A43" s="32"/>
      <c r="B43" s="34" t="s">
        <v>61</v>
      </c>
      <c r="C43" s="34"/>
      <c r="D43" s="34"/>
      <c r="E43" s="34"/>
      <c r="F43" s="34"/>
      <c r="G43" s="34"/>
      <c r="H43" s="34"/>
      <c r="I43" s="34"/>
      <c r="J43" s="34"/>
      <c r="K43" s="34"/>
    </row>
    <row r="44" spans="1:11" x14ac:dyDescent="0.25">
      <c r="A44" s="6" t="s">
        <v>111</v>
      </c>
      <c r="B44" s="8">
        <f>B27</f>
        <v>6.1774247443181753</v>
      </c>
      <c r="C44" s="8">
        <f t="shared" ref="C44:K44" si="11">C27</f>
        <v>6.7984802450284114</v>
      </c>
      <c r="D44" s="8">
        <f t="shared" si="11"/>
        <v>7.4955068030539778</v>
      </c>
      <c r="E44" s="8">
        <f t="shared" si="11"/>
        <v>8.2619207333511238</v>
      </c>
      <c r="F44" s="8">
        <f t="shared" si="11"/>
        <v>9.0904282856436787</v>
      </c>
      <c r="G44" s="8">
        <f t="shared" si="11"/>
        <v>9.913909870707192</v>
      </c>
      <c r="H44" s="8">
        <f t="shared" si="11"/>
        <v>10.664384565397402</v>
      </c>
      <c r="I44" s="8">
        <f t="shared" si="11"/>
        <v>10.41055182943461</v>
      </c>
      <c r="J44" s="8">
        <f t="shared" si="11"/>
        <v>10.035253916519245</v>
      </c>
      <c r="K44" s="8">
        <f t="shared" si="11"/>
        <v>9.5257887366557235</v>
      </c>
    </row>
    <row r="45" spans="1:11" x14ac:dyDescent="0.25">
      <c r="A45" s="6" t="s">
        <v>104</v>
      </c>
      <c r="B45" s="8">
        <f>B22</f>
        <v>6.9618750000000009</v>
      </c>
      <c r="C45" s="8">
        <f t="shared" ref="C45:K45" si="12">C22</f>
        <v>6.6974999999999998</v>
      </c>
      <c r="D45" s="8">
        <f t="shared" si="12"/>
        <v>6.256875</v>
      </c>
      <c r="E45" s="8">
        <f t="shared" si="12"/>
        <v>5.64</v>
      </c>
      <c r="F45" s="8">
        <f t="shared" si="12"/>
        <v>4.8468749999999989</v>
      </c>
      <c r="G45" s="8">
        <f t="shared" si="12"/>
        <v>3.9656249999999988</v>
      </c>
      <c r="H45" s="8">
        <f t="shared" si="12"/>
        <v>3.0843749999999988</v>
      </c>
      <c r="I45" s="8">
        <f t="shared" si="12"/>
        <v>2.2031249999999987</v>
      </c>
      <c r="J45" s="8">
        <f t="shared" si="12"/>
        <v>1.3218749999999986</v>
      </c>
      <c r="K45" s="8">
        <f t="shared" si="12"/>
        <v>0.4406249999999986</v>
      </c>
    </row>
    <row r="46" spans="1:11" x14ac:dyDescent="0.25">
      <c r="A46" s="6" t="s">
        <v>113</v>
      </c>
      <c r="B46" s="8">
        <f>B21</f>
        <v>5.2514687499999999</v>
      </c>
      <c r="C46" s="8">
        <f t="shared" ref="C46:K46" si="13">C21</f>
        <v>5.2514687499999999</v>
      </c>
      <c r="D46" s="8">
        <f t="shared" si="13"/>
        <v>5.2514687499999999</v>
      </c>
      <c r="E46" s="8">
        <f t="shared" si="13"/>
        <v>5.2514687499999999</v>
      </c>
      <c r="F46" s="8">
        <f t="shared" si="13"/>
        <v>5.2514687499999999</v>
      </c>
      <c r="G46" s="8">
        <f t="shared" si="13"/>
        <v>5.2514687499999999</v>
      </c>
      <c r="H46" s="8">
        <f t="shared" si="13"/>
        <v>5.2514687499999999</v>
      </c>
      <c r="I46" s="8">
        <f t="shared" si="13"/>
        <v>5.2514687499999999</v>
      </c>
      <c r="J46" s="8">
        <f t="shared" si="13"/>
        <v>5.2514687499999999</v>
      </c>
      <c r="K46" s="8">
        <f t="shared" si="13"/>
        <v>5.2514687499999999</v>
      </c>
    </row>
    <row r="47" spans="1:11" x14ac:dyDescent="0.25">
      <c r="A47" s="6" t="s">
        <v>106</v>
      </c>
      <c r="B47" s="8">
        <f>SUM(B44:B46)</f>
        <v>18.390768494318177</v>
      </c>
      <c r="C47" s="8">
        <f t="shared" ref="C47:K47" si="14">SUM(C44:C46)</f>
        <v>18.74744899502841</v>
      </c>
      <c r="D47" s="8">
        <f t="shared" si="14"/>
        <v>19.003850553053979</v>
      </c>
      <c r="E47" s="8">
        <f t="shared" si="14"/>
        <v>19.153389483351123</v>
      </c>
      <c r="F47" s="8">
        <f t="shared" si="14"/>
        <v>19.188772035643677</v>
      </c>
      <c r="G47" s="8">
        <f t="shared" si="14"/>
        <v>19.13100362070719</v>
      </c>
      <c r="H47" s="8">
        <f t="shared" si="14"/>
        <v>19.000228315397401</v>
      </c>
      <c r="I47" s="8">
        <f t="shared" si="14"/>
        <v>17.865145579434607</v>
      </c>
      <c r="J47" s="8">
        <f t="shared" si="14"/>
        <v>16.608597666519245</v>
      </c>
      <c r="K47" s="8">
        <f t="shared" si="14"/>
        <v>15.217882486655721</v>
      </c>
    </row>
    <row r="48" spans="1:11" x14ac:dyDescent="0.25">
      <c r="A48" s="6" t="s">
        <v>107</v>
      </c>
      <c r="B48" s="8">
        <f>B45</f>
        <v>6.9618750000000009</v>
      </c>
      <c r="C48" s="8">
        <f t="shared" ref="C48:K48" si="15">C45</f>
        <v>6.6974999999999998</v>
      </c>
      <c r="D48" s="8">
        <f t="shared" si="15"/>
        <v>6.256875</v>
      </c>
      <c r="E48" s="8">
        <f t="shared" si="15"/>
        <v>5.64</v>
      </c>
      <c r="F48" s="8">
        <f t="shared" si="15"/>
        <v>4.8468749999999989</v>
      </c>
      <c r="G48" s="8">
        <f t="shared" si="15"/>
        <v>3.9656249999999988</v>
      </c>
      <c r="H48" s="8">
        <f t="shared" si="15"/>
        <v>3.0843749999999988</v>
      </c>
      <c r="I48" s="8">
        <f t="shared" si="15"/>
        <v>2.2031249999999987</v>
      </c>
      <c r="J48" s="8">
        <f t="shared" si="15"/>
        <v>1.3218749999999986</v>
      </c>
      <c r="K48" s="8">
        <f t="shared" si="15"/>
        <v>0.4406249999999986</v>
      </c>
    </row>
    <row r="49" spans="1:13" x14ac:dyDescent="0.25">
      <c r="A49" s="6" t="s">
        <v>105</v>
      </c>
      <c r="B49" s="8">
        <f>B36</f>
        <v>1.7625000000000002</v>
      </c>
      <c r="C49" s="8">
        <f t="shared" ref="C49:K49" si="16">C36</f>
        <v>3.5250000000000004</v>
      </c>
      <c r="D49" s="8">
        <f t="shared" si="16"/>
        <v>5.2874999999999996</v>
      </c>
      <c r="E49" s="8">
        <f t="shared" si="16"/>
        <v>7.0500000000000007</v>
      </c>
      <c r="F49" s="8">
        <f t="shared" si="16"/>
        <v>8.8125</v>
      </c>
      <c r="G49" s="8">
        <f t="shared" si="16"/>
        <v>8.8125</v>
      </c>
      <c r="H49" s="8">
        <f t="shared" si="16"/>
        <v>8.8125</v>
      </c>
      <c r="I49" s="8">
        <f t="shared" si="16"/>
        <v>8.8125</v>
      </c>
      <c r="J49" s="8">
        <f t="shared" si="16"/>
        <v>8.8125</v>
      </c>
      <c r="K49" s="8">
        <f t="shared" si="16"/>
        <v>8.8125</v>
      </c>
    </row>
    <row r="50" spans="1:13" x14ac:dyDescent="0.25">
      <c r="A50" s="6" t="s">
        <v>108</v>
      </c>
      <c r="B50" s="8">
        <f>SUM(B48:B49)</f>
        <v>8.724375000000002</v>
      </c>
      <c r="C50" s="8">
        <f t="shared" ref="C50:K50" si="17">SUM(C48:C49)</f>
        <v>10.2225</v>
      </c>
      <c r="D50" s="8">
        <f t="shared" si="17"/>
        <v>11.544374999999999</v>
      </c>
      <c r="E50" s="8">
        <f t="shared" si="17"/>
        <v>12.690000000000001</v>
      </c>
      <c r="F50" s="8">
        <f t="shared" si="17"/>
        <v>13.659374999999999</v>
      </c>
      <c r="G50" s="8">
        <f t="shared" si="17"/>
        <v>12.778124999999999</v>
      </c>
      <c r="H50" s="8">
        <f t="shared" si="17"/>
        <v>11.896874999999998</v>
      </c>
      <c r="I50" s="8">
        <f t="shared" si="17"/>
        <v>11.015624999999998</v>
      </c>
      <c r="J50" s="8">
        <f t="shared" si="17"/>
        <v>10.134374999999999</v>
      </c>
      <c r="K50" s="8">
        <f t="shared" si="17"/>
        <v>9.2531249999999989</v>
      </c>
    </row>
    <row r="51" spans="1:13" x14ac:dyDescent="0.25">
      <c r="A51" s="6" t="s">
        <v>109</v>
      </c>
      <c r="B51" s="7">
        <f>B47/B50</f>
        <v>2.1079754703710205</v>
      </c>
      <c r="C51" s="7">
        <f t="shared" ref="C51:K51" si="18">C47/C50</f>
        <v>1.833939740281576</v>
      </c>
      <c r="D51" s="7">
        <f t="shared" si="18"/>
        <v>1.6461567259426328</v>
      </c>
      <c r="E51" s="7">
        <f t="shared" si="18"/>
        <v>1.5093293525099387</v>
      </c>
      <c r="F51" s="7">
        <f t="shared" si="18"/>
        <v>1.4048060058123946</v>
      </c>
      <c r="G51" s="7">
        <f t="shared" si="18"/>
        <v>1.497168295090805</v>
      </c>
      <c r="H51" s="7">
        <f t="shared" si="18"/>
        <v>1.5970772421663171</v>
      </c>
      <c r="I51" s="7">
        <f t="shared" si="18"/>
        <v>1.6218004497642766</v>
      </c>
      <c r="J51" s="7">
        <f t="shared" si="18"/>
        <v>1.6388378826044276</v>
      </c>
      <c r="K51" s="7">
        <f t="shared" si="18"/>
        <v>1.644620869885117</v>
      </c>
    </row>
    <row r="52" spans="1:13" x14ac:dyDescent="0.25">
      <c r="A52" s="9" t="s">
        <v>110</v>
      </c>
      <c r="B52" s="10">
        <f>SUM(B47:K47)/SUM(B50:K50)</f>
        <v>1.6289235470384498</v>
      </c>
      <c r="C52" s="6"/>
      <c r="D52" s="6"/>
      <c r="E52" s="6"/>
      <c r="F52" s="6"/>
      <c r="G52" s="6"/>
      <c r="H52" s="6"/>
      <c r="I52" s="6"/>
      <c r="J52" s="6"/>
      <c r="K52" s="6"/>
    </row>
    <row r="55" spans="1:13" x14ac:dyDescent="0.25">
      <c r="A55" s="20" t="s">
        <v>112</v>
      </c>
    </row>
    <row r="56" spans="1:13" s="4" customFormat="1" x14ac:dyDescent="0.25">
      <c r="A56" s="32" t="s">
        <v>0</v>
      </c>
      <c r="B56" s="9" t="s">
        <v>15</v>
      </c>
      <c r="C56" s="9" t="s">
        <v>16</v>
      </c>
      <c r="D56" s="12" t="s">
        <v>51</v>
      </c>
      <c r="E56" s="12" t="s">
        <v>52</v>
      </c>
      <c r="F56" s="12" t="s">
        <v>53</v>
      </c>
      <c r="G56" s="12" t="s">
        <v>54</v>
      </c>
      <c r="H56" s="12" t="s">
        <v>55</v>
      </c>
      <c r="I56" s="12" t="s">
        <v>56</v>
      </c>
      <c r="J56" s="12" t="s">
        <v>57</v>
      </c>
      <c r="K56" s="12" t="s">
        <v>58</v>
      </c>
      <c r="L56" s="12" t="s">
        <v>59</v>
      </c>
      <c r="M56" s="12" t="s">
        <v>60</v>
      </c>
    </row>
    <row r="57" spans="1:13" x14ac:dyDescent="0.25">
      <c r="A57" s="32"/>
      <c r="B57" s="34" t="s">
        <v>44</v>
      </c>
      <c r="C57" s="34"/>
      <c r="D57" s="34"/>
      <c r="E57" s="34"/>
      <c r="F57" s="34"/>
      <c r="G57" s="34"/>
      <c r="H57" s="34"/>
      <c r="I57" s="34"/>
      <c r="J57" s="34"/>
      <c r="K57" s="34"/>
      <c r="L57" s="34"/>
      <c r="M57" s="34"/>
    </row>
    <row r="58" spans="1:13" x14ac:dyDescent="0.25">
      <c r="A58" s="6" t="s">
        <v>114</v>
      </c>
      <c r="B58" s="7">
        <v>0</v>
      </c>
      <c r="C58" s="7">
        <v>0</v>
      </c>
      <c r="D58" s="7">
        <f>B47</f>
        <v>18.390768494318177</v>
      </c>
      <c r="E58" s="7">
        <f t="shared" ref="E58:M58" si="19">C47</f>
        <v>18.74744899502841</v>
      </c>
      <c r="F58" s="7">
        <f t="shared" si="19"/>
        <v>19.003850553053979</v>
      </c>
      <c r="G58" s="7">
        <f t="shared" si="19"/>
        <v>19.153389483351123</v>
      </c>
      <c r="H58" s="7">
        <f t="shared" si="19"/>
        <v>19.188772035643677</v>
      </c>
      <c r="I58" s="7">
        <f t="shared" si="19"/>
        <v>19.13100362070719</v>
      </c>
      <c r="J58" s="7">
        <f t="shared" si="19"/>
        <v>19.000228315397401</v>
      </c>
      <c r="K58" s="7">
        <f t="shared" si="19"/>
        <v>17.865145579434607</v>
      </c>
      <c r="L58" s="7">
        <f t="shared" si="19"/>
        <v>16.608597666519245</v>
      </c>
      <c r="M58" s="7">
        <f t="shared" si="19"/>
        <v>15.217882486655721</v>
      </c>
    </row>
    <row r="59" spans="1:13" x14ac:dyDescent="0.25">
      <c r="A59" s="6" t="s">
        <v>115</v>
      </c>
      <c r="B59" s="7">
        <v>0</v>
      </c>
      <c r="C59" s="7">
        <v>0</v>
      </c>
      <c r="D59" s="7">
        <v>0</v>
      </c>
      <c r="E59" s="7">
        <v>0</v>
      </c>
      <c r="F59" s="7">
        <v>0</v>
      </c>
      <c r="G59" s="7">
        <v>0</v>
      </c>
      <c r="H59" s="7">
        <v>0</v>
      </c>
      <c r="I59" s="7">
        <v>0</v>
      </c>
      <c r="J59" s="7">
        <v>0</v>
      </c>
      <c r="K59" s="7">
        <v>0</v>
      </c>
      <c r="L59" s="7">
        <v>0</v>
      </c>
      <c r="M59" s="8">
        <f>'Assumption Sheet'!B11-SUM('Project Income Statement'!B21:K21)</f>
        <v>82.062812499999978</v>
      </c>
    </row>
    <row r="60" spans="1:13" x14ac:dyDescent="0.25">
      <c r="A60" s="6" t="s">
        <v>116</v>
      </c>
      <c r="B60" s="8">
        <f>-'Assumption Sheet'!B121</f>
        <v>-78.004374999999996</v>
      </c>
      <c r="C60" s="8">
        <f>-'Assumption Sheet'!C121</f>
        <v>-56.57312499999999</v>
      </c>
      <c r="D60" s="7">
        <v>0</v>
      </c>
      <c r="E60" s="7">
        <v>0</v>
      </c>
      <c r="F60" s="7">
        <v>0</v>
      </c>
      <c r="G60" s="7">
        <v>0</v>
      </c>
      <c r="H60" s="7">
        <v>0</v>
      </c>
      <c r="I60" s="7">
        <v>0</v>
      </c>
      <c r="J60" s="7">
        <v>0</v>
      </c>
      <c r="K60" s="7">
        <v>0</v>
      </c>
      <c r="L60" s="7">
        <v>0</v>
      </c>
      <c r="M60" s="7">
        <v>0</v>
      </c>
    </row>
    <row r="61" spans="1:13" x14ac:dyDescent="0.25">
      <c r="A61" s="9" t="s">
        <v>121</v>
      </c>
      <c r="B61" s="11">
        <f>SUM(B58:B60)</f>
        <v>-78.004374999999996</v>
      </c>
      <c r="C61" s="11">
        <f t="shared" ref="C61:M61" si="20">SUM(C58:C60)</f>
        <v>-56.57312499999999</v>
      </c>
      <c r="D61" s="11">
        <f t="shared" si="20"/>
        <v>18.390768494318177</v>
      </c>
      <c r="E61" s="11">
        <f t="shared" si="20"/>
        <v>18.74744899502841</v>
      </c>
      <c r="F61" s="11">
        <f t="shared" si="20"/>
        <v>19.003850553053979</v>
      </c>
      <c r="G61" s="11">
        <f t="shared" si="20"/>
        <v>19.153389483351123</v>
      </c>
      <c r="H61" s="11">
        <f t="shared" si="20"/>
        <v>19.188772035643677</v>
      </c>
      <c r="I61" s="11">
        <f t="shared" si="20"/>
        <v>19.13100362070719</v>
      </c>
      <c r="J61" s="11">
        <f t="shared" si="20"/>
        <v>19.000228315397401</v>
      </c>
      <c r="K61" s="11">
        <f t="shared" si="20"/>
        <v>17.865145579434607</v>
      </c>
      <c r="L61" s="11">
        <f t="shared" si="20"/>
        <v>16.608597666519245</v>
      </c>
      <c r="M61" s="11">
        <f t="shared" si="20"/>
        <v>97.280694986655703</v>
      </c>
    </row>
    <row r="62" spans="1:13" x14ac:dyDescent="0.25">
      <c r="A62" s="9" t="s">
        <v>112</v>
      </c>
      <c r="B62" s="25">
        <f>IRR(B61:M61)</f>
        <v>0.10305145296441243</v>
      </c>
      <c r="C62" s="6"/>
      <c r="D62" s="6"/>
      <c r="E62" s="6"/>
      <c r="F62" s="6"/>
      <c r="G62" s="6"/>
      <c r="H62" s="6"/>
      <c r="I62" s="6"/>
      <c r="J62" s="6"/>
      <c r="K62" s="6"/>
      <c r="L62" s="6"/>
      <c r="M62" s="6"/>
    </row>
    <row r="64" spans="1:13" x14ac:dyDescent="0.25">
      <c r="A64" s="20" t="s">
        <v>125</v>
      </c>
    </row>
    <row r="65" spans="1:11" x14ac:dyDescent="0.25">
      <c r="A65" s="32" t="s">
        <v>0</v>
      </c>
      <c r="B65" s="12" t="s">
        <v>51</v>
      </c>
      <c r="C65" s="12" t="s">
        <v>52</v>
      </c>
      <c r="D65" s="12" t="s">
        <v>53</v>
      </c>
      <c r="E65" s="12" t="s">
        <v>54</v>
      </c>
      <c r="F65" s="12" t="s">
        <v>55</v>
      </c>
      <c r="G65" s="12" t="s">
        <v>56</v>
      </c>
      <c r="H65" s="12" t="s">
        <v>57</v>
      </c>
      <c r="I65" s="12" t="s">
        <v>58</v>
      </c>
      <c r="J65" s="12" t="s">
        <v>59</v>
      </c>
      <c r="K65" s="12" t="s">
        <v>60</v>
      </c>
    </row>
    <row r="66" spans="1:11" x14ac:dyDescent="0.25">
      <c r="A66" s="32"/>
      <c r="B66" s="34" t="s">
        <v>61</v>
      </c>
      <c r="C66" s="34"/>
      <c r="D66" s="34"/>
      <c r="E66" s="34"/>
      <c r="F66" s="34"/>
      <c r="G66" s="34"/>
      <c r="H66" s="34"/>
      <c r="I66" s="34"/>
      <c r="J66" s="34"/>
      <c r="K66" s="34"/>
    </row>
    <row r="67" spans="1:11" x14ac:dyDescent="0.25">
      <c r="A67" s="6" t="s">
        <v>106</v>
      </c>
      <c r="B67" s="8">
        <f>B47</f>
        <v>18.390768494318177</v>
      </c>
      <c r="C67" s="8">
        <f t="shared" ref="C67:K67" si="21">C47</f>
        <v>18.74744899502841</v>
      </c>
      <c r="D67" s="8">
        <f t="shared" si="21"/>
        <v>19.003850553053979</v>
      </c>
      <c r="E67" s="8">
        <f t="shared" si="21"/>
        <v>19.153389483351123</v>
      </c>
      <c r="F67" s="8">
        <f t="shared" si="21"/>
        <v>19.188772035643677</v>
      </c>
      <c r="G67" s="8">
        <f t="shared" si="21"/>
        <v>19.13100362070719</v>
      </c>
      <c r="H67" s="8">
        <f t="shared" si="21"/>
        <v>19.000228315397401</v>
      </c>
      <c r="I67" s="8">
        <f t="shared" si="21"/>
        <v>17.865145579434607</v>
      </c>
      <c r="J67" s="8">
        <f t="shared" si="21"/>
        <v>16.608597666519245</v>
      </c>
      <c r="K67" s="8">
        <f t="shared" si="21"/>
        <v>15.217882486655721</v>
      </c>
    </row>
    <row r="68" spans="1:11" x14ac:dyDescent="0.25">
      <c r="A68" s="6" t="s">
        <v>123</v>
      </c>
      <c r="B68" s="8">
        <f>AVERAGE(B67:K67)</f>
        <v>18.230708723010952</v>
      </c>
      <c r="C68" s="8"/>
      <c r="D68" s="8"/>
      <c r="E68" s="8"/>
      <c r="F68" s="8"/>
      <c r="G68" s="8"/>
      <c r="H68" s="8"/>
      <c r="I68" s="8"/>
      <c r="J68" s="8"/>
      <c r="K68" s="8"/>
    </row>
    <row r="69" spans="1:11" x14ac:dyDescent="0.25">
      <c r="A69" s="6" t="s">
        <v>122</v>
      </c>
      <c r="B69" s="8">
        <f>'Assumption Sheet'!D121</f>
        <v>134.57749999999999</v>
      </c>
      <c r="C69" s="6"/>
      <c r="D69" s="6"/>
      <c r="E69" s="6"/>
      <c r="F69" s="6"/>
      <c r="G69" s="6"/>
      <c r="H69" s="6"/>
      <c r="I69" s="6"/>
      <c r="J69" s="6"/>
      <c r="K69" s="6"/>
    </row>
    <row r="70" spans="1:11" x14ac:dyDescent="0.25">
      <c r="A70" s="6" t="s">
        <v>124</v>
      </c>
      <c r="B70" s="7">
        <f>B69/B68</f>
        <v>7.3819126861554833</v>
      </c>
      <c r="C70" s="6"/>
      <c r="D70" s="6"/>
      <c r="E70" s="6"/>
      <c r="F70" s="6"/>
      <c r="G70" s="6"/>
      <c r="H70" s="6"/>
      <c r="I70" s="6"/>
      <c r="J70" s="6"/>
      <c r="K70" s="6"/>
    </row>
    <row r="72" spans="1:11" x14ac:dyDescent="0.25">
      <c r="A72" s="4" t="s">
        <v>126</v>
      </c>
    </row>
    <row r="73" spans="1:11" x14ac:dyDescent="0.25">
      <c r="A73" s="32" t="s">
        <v>0</v>
      </c>
      <c r="B73" s="12" t="s">
        <v>51</v>
      </c>
      <c r="C73" s="12" t="s">
        <v>52</v>
      </c>
      <c r="D73" s="12" t="s">
        <v>53</v>
      </c>
      <c r="E73" s="12" t="s">
        <v>54</v>
      </c>
      <c r="F73" s="12" t="s">
        <v>55</v>
      </c>
      <c r="G73" s="12" t="s">
        <v>56</v>
      </c>
      <c r="H73" s="12" t="s">
        <v>57</v>
      </c>
      <c r="I73" s="12" t="s">
        <v>58</v>
      </c>
      <c r="J73" s="12" t="s">
        <v>59</v>
      </c>
      <c r="K73" s="12" t="s">
        <v>60</v>
      </c>
    </row>
    <row r="74" spans="1:11" x14ac:dyDescent="0.25">
      <c r="A74" s="32"/>
      <c r="B74" s="34" t="s">
        <v>61</v>
      </c>
      <c r="C74" s="34"/>
      <c r="D74" s="34"/>
      <c r="E74" s="34"/>
      <c r="F74" s="34"/>
      <c r="G74" s="34"/>
      <c r="H74" s="34"/>
      <c r="I74" s="34"/>
      <c r="J74" s="34"/>
      <c r="K74" s="34"/>
    </row>
    <row r="75" spans="1:11" x14ac:dyDescent="0.25">
      <c r="A75" s="6" t="s">
        <v>127</v>
      </c>
      <c r="B75" s="8">
        <f>B10</f>
        <v>53.920454545454533</v>
      </c>
      <c r="C75" s="8">
        <f t="shared" ref="C75:K75" si="22">C10</f>
        <v>56.834232954545456</v>
      </c>
      <c r="D75" s="8">
        <f t="shared" si="22"/>
        <v>59.823292613636369</v>
      </c>
      <c r="E75" s="8">
        <f t="shared" si="22"/>
        <v>62.889236360085235</v>
      </c>
      <c r="F75" s="8">
        <f t="shared" si="22"/>
        <v>66.033698178089509</v>
      </c>
      <c r="G75" s="8">
        <f t="shared" si="22"/>
        <v>69.258343772452875</v>
      </c>
      <c r="H75" s="8">
        <f t="shared" si="22"/>
        <v>72.56487115255706</v>
      </c>
      <c r="I75" s="8">
        <f t="shared" si="22"/>
        <v>73.653344219845422</v>
      </c>
      <c r="J75" s="8">
        <f t="shared" si="22"/>
        <v>74.75814438314309</v>
      </c>
      <c r="K75" s="8">
        <f t="shared" si="22"/>
        <v>75.879516548890237</v>
      </c>
    </row>
    <row r="76" spans="1:11" x14ac:dyDescent="0.25">
      <c r="A76" s="6" t="s">
        <v>128</v>
      </c>
      <c r="B76" s="8">
        <f>B18</f>
        <v>21.702982954545451</v>
      </c>
      <c r="C76" s="8">
        <f t="shared" ref="C76:K76" si="23">C18</f>
        <v>22.875778764204547</v>
      </c>
      <c r="D76" s="8">
        <f t="shared" si="23"/>
        <v>24.07887527698864</v>
      </c>
      <c r="E76" s="8">
        <f t="shared" si="23"/>
        <v>25.312917634934305</v>
      </c>
      <c r="F76" s="8">
        <f t="shared" si="23"/>
        <v>26.578563516681026</v>
      </c>
      <c r="G76" s="8">
        <f t="shared" si="23"/>
        <v>27.876483368412284</v>
      </c>
      <c r="H76" s="8">
        <f t="shared" si="23"/>
        <v>29.207360638904216</v>
      </c>
      <c r="I76" s="8">
        <f t="shared" si="23"/>
        <v>29.645471048487781</v>
      </c>
      <c r="J76" s="8">
        <f t="shared" si="23"/>
        <v>30.090153114215095</v>
      </c>
      <c r="K76" s="8">
        <f t="shared" si="23"/>
        <v>30.541505410928323</v>
      </c>
    </row>
    <row r="77" spans="1:11" x14ac:dyDescent="0.25">
      <c r="A77" s="6" t="s">
        <v>129</v>
      </c>
      <c r="B77" s="8">
        <f>B75-B76</f>
        <v>32.217471590909085</v>
      </c>
      <c r="C77" s="8">
        <f t="shared" ref="C77:K77" si="24">C75-C76</f>
        <v>33.958454190340909</v>
      </c>
      <c r="D77" s="8">
        <f t="shared" si="24"/>
        <v>35.744417336647729</v>
      </c>
      <c r="E77" s="8">
        <f t="shared" si="24"/>
        <v>37.576318725150927</v>
      </c>
      <c r="F77" s="8">
        <f t="shared" si="24"/>
        <v>39.455134661408479</v>
      </c>
      <c r="G77" s="8">
        <f t="shared" si="24"/>
        <v>41.381860404040594</v>
      </c>
      <c r="H77" s="8">
        <f t="shared" si="24"/>
        <v>43.357510513652841</v>
      </c>
      <c r="I77" s="8">
        <f t="shared" si="24"/>
        <v>44.007873171357645</v>
      </c>
      <c r="J77" s="8">
        <f t="shared" si="24"/>
        <v>44.667991268927992</v>
      </c>
      <c r="K77" s="8">
        <f t="shared" si="24"/>
        <v>45.338011137961914</v>
      </c>
    </row>
    <row r="78" spans="1:11" x14ac:dyDescent="0.25">
      <c r="A78" s="6" t="s">
        <v>130</v>
      </c>
      <c r="B78" s="24">
        <f>B77/B75</f>
        <v>0.59750000000000003</v>
      </c>
      <c r="C78" s="24">
        <f t="shared" ref="C78:K78" si="25">C77/C75</f>
        <v>0.59750000000000003</v>
      </c>
      <c r="D78" s="24">
        <f t="shared" si="25"/>
        <v>0.59749999999999992</v>
      </c>
      <c r="E78" s="24">
        <f t="shared" si="25"/>
        <v>0.59750000000000003</v>
      </c>
      <c r="F78" s="24">
        <f t="shared" si="25"/>
        <v>0.59749999999999992</v>
      </c>
      <c r="G78" s="24">
        <f t="shared" si="25"/>
        <v>0.59750000000000003</v>
      </c>
      <c r="H78" s="24">
        <f t="shared" si="25"/>
        <v>0.59749999999999992</v>
      </c>
      <c r="I78" s="24">
        <f t="shared" si="25"/>
        <v>0.59750000000000003</v>
      </c>
      <c r="J78" s="24">
        <f t="shared" si="25"/>
        <v>0.59749999999999992</v>
      </c>
      <c r="K78" s="24">
        <f t="shared" si="25"/>
        <v>0.59749999999999992</v>
      </c>
    </row>
    <row r="79" spans="1:11" x14ac:dyDescent="0.25">
      <c r="A79" s="6" t="s">
        <v>131</v>
      </c>
      <c r="B79" s="8">
        <f>B23</f>
        <v>22.997434659090906</v>
      </c>
      <c r="C79" s="8">
        <f t="shared" ref="C79:K79" si="26">C23</f>
        <v>23.811468749999996</v>
      </c>
      <c r="D79" s="8">
        <f t="shared" si="26"/>
        <v>24.55709375</v>
      </c>
      <c r="E79" s="8">
        <f t="shared" si="26"/>
        <v>25.245093750000002</v>
      </c>
      <c r="F79" s="8">
        <f t="shared" si="26"/>
        <v>25.887331250000003</v>
      </c>
      <c r="G79" s="8">
        <f t="shared" si="26"/>
        <v>26.584980000000005</v>
      </c>
      <c r="H79" s="8">
        <f t="shared" si="26"/>
        <v>27.440518625000006</v>
      </c>
      <c r="I79" s="8">
        <f t="shared" si="26"/>
        <v>28.469736112500012</v>
      </c>
      <c r="J79" s="8">
        <f t="shared" si="26"/>
        <v>29.690000348750015</v>
      </c>
      <c r="K79" s="8">
        <f t="shared" si="26"/>
        <v>31.120416008625018</v>
      </c>
    </row>
    <row r="80" spans="1:11" x14ac:dyDescent="0.25">
      <c r="A80" s="6" t="s">
        <v>137</v>
      </c>
      <c r="B80" s="8">
        <f>B77-B79</f>
        <v>9.2200369318181785</v>
      </c>
      <c r="C80" s="8">
        <f t="shared" ref="C80:K80" si="27">C77-C79</f>
        <v>10.146985440340913</v>
      </c>
      <c r="D80" s="8">
        <f t="shared" si="27"/>
        <v>11.187323586647729</v>
      </c>
      <c r="E80" s="8">
        <f t="shared" si="27"/>
        <v>12.331224975150924</v>
      </c>
      <c r="F80" s="8">
        <f t="shared" si="27"/>
        <v>13.567803411408477</v>
      </c>
      <c r="G80" s="8">
        <f t="shared" si="27"/>
        <v>14.796880404040589</v>
      </c>
      <c r="H80" s="8">
        <f t="shared" si="27"/>
        <v>15.916991888652834</v>
      </c>
      <c r="I80" s="8">
        <f t="shared" si="27"/>
        <v>15.538137058857632</v>
      </c>
      <c r="J80" s="8">
        <f t="shared" si="27"/>
        <v>14.977990920177977</v>
      </c>
      <c r="K80" s="8">
        <f t="shared" si="27"/>
        <v>14.217595129336896</v>
      </c>
    </row>
    <row r="81" spans="1:11" x14ac:dyDescent="0.25">
      <c r="A81" s="6" t="s">
        <v>132</v>
      </c>
      <c r="B81" s="8">
        <f>B79/B78</f>
        <v>38.489430391783941</v>
      </c>
      <c r="C81" s="8">
        <f t="shared" ref="C81:K81" si="28">C79/C78</f>
        <v>39.851830543933048</v>
      </c>
      <c r="D81" s="8">
        <f t="shared" si="28"/>
        <v>41.099738493723855</v>
      </c>
      <c r="E81" s="8">
        <f t="shared" si="28"/>
        <v>42.251202928870292</v>
      </c>
      <c r="F81" s="8">
        <f t="shared" si="28"/>
        <v>43.326077405857752</v>
      </c>
      <c r="G81" s="8">
        <f t="shared" si="28"/>
        <v>44.493690376569042</v>
      </c>
      <c r="H81" s="8">
        <f t="shared" si="28"/>
        <v>45.925554184100434</v>
      </c>
      <c r="I81" s="8">
        <f t="shared" si="28"/>
        <v>47.648093912133909</v>
      </c>
      <c r="J81" s="8">
        <f t="shared" si="28"/>
        <v>49.690377152719698</v>
      </c>
      <c r="K81" s="8">
        <f t="shared" si="28"/>
        <v>52.084378257113009</v>
      </c>
    </row>
    <row r="82" spans="1:11" x14ac:dyDescent="0.25">
      <c r="A82" s="6" t="s">
        <v>133</v>
      </c>
      <c r="B82" s="24">
        <f>B81/B75</f>
        <v>0.71381873013213648</v>
      </c>
      <c r="C82" s="24">
        <f t="shared" ref="C82:K82" si="29">C81/C75</f>
        <v>0.70119413023143129</v>
      </c>
      <c r="D82" s="24">
        <f t="shared" si="29"/>
        <v>0.68701899708468084</v>
      </c>
      <c r="E82" s="24">
        <f t="shared" si="29"/>
        <v>0.67183520383285233</v>
      </c>
      <c r="F82" s="24">
        <f t="shared" si="29"/>
        <v>0.65612071716791531</v>
      </c>
      <c r="G82" s="24">
        <f t="shared" si="29"/>
        <v>0.64243075928515292</v>
      </c>
      <c r="H82" s="24">
        <f t="shared" si="29"/>
        <v>0.63288962627038436</v>
      </c>
      <c r="I82" s="24">
        <f t="shared" si="29"/>
        <v>0.64692369934908445</v>
      </c>
      <c r="J82" s="24">
        <f t="shared" si="29"/>
        <v>0.66468178902423614</v>
      </c>
      <c r="K82" s="24">
        <f t="shared" si="29"/>
        <v>0.68640893650863355</v>
      </c>
    </row>
    <row r="83" spans="1:11" x14ac:dyDescent="0.25">
      <c r="A83" s="6" t="s">
        <v>134</v>
      </c>
      <c r="B83" s="8">
        <f>B23-B21</f>
        <v>17.745965909090906</v>
      </c>
      <c r="C83" s="8">
        <f t="shared" ref="C83:K83" si="30">C23-C21</f>
        <v>18.559999999999995</v>
      </c>
      <c r="D83" s="8">
        <f t="shared" si="30"/>
        <v>19.305624999999999</v>
      </c>
      <c r="E83" s="8">
        <f t="shared" si="30"/>
        <v>19.993625000000002</v>
      </c>
      <c r="F83" s="8">
        <f t="shared" si="30"/>
        <v>20.635862500000002</v>
      </c>
      <c r="G83" s="8">
        <f t="shared" si="30"/>
        <v>21.333511250000004</v>
      </c>
      <c r="H83" s="8">
        <f t="shared" si="30"/>
        <v>22.189049875000006</v>
      </c>
      <c r="I83" s="8">
        <f t="shared" si="30"/>
        <v>23.218267362500011</v>
      </c>
      <c r="J83" s="8">
        <f t="shared" si="30"/>
        <v>24.438531598750014</v>
      </c>
      <c r="K83" s="8">
        <f t="shared" si="30"/>
        <v>25.868947258625017</v>
      </c>
    </row>
    <row r="84" spans="1:11" x14ac:dyDescent="0.25">
      <c r="A84" s="6" t="s">
        <v>135</v>
      </c>
      <c r="B84" s="8">
        <f>B83/B78</f>
        <v>29.700361354127036</v>
      </c>
      <c r="C84" s="8">
        <f t="shared" ref="C84:K84" si="31">C83/C78</f>
        <v>31.062761506276139</v>
      </c>
      <c r="D84" s="8">
        <f t="shared" si="31"/>
        <v>32.310669456066947</v>
      </c>
      <c r="E84" s="8">
        <f t="shared" si="31"/>
        <v>33.462133891213391</v>
      </c>
      <c r="F84" s="8">
        <f t="shared" si="31"/>
        <v>34.537008368200844</v>
      </c>
      <c r="G84" s="8">
        <f t="shared" si="31"/>
        <v>35.704621338912141</v>
      </c>
      <c r="H84" s="8">
        <f t="shared" si="31"/>
        <v>37.136485146443526</v>
      </c>
      <c r="I84" s="8">
        <f t="shared" si="31"/>
        <v>38.859024874477008</v>
      </c>
      <c r="J84" s="8">
        <f t="shared" si="31"/>
        <v>40.90130811506279</v>
      </c>
      <c r="K84" s="8">
        <f t="shared" si="31"/>
        <v>43.295309219456101</v>
      </c>
    </row>
    <row r="85" spans="1:11" x14ac:dyDescent="0.25">
      <c r="A85" s="6" t="s">
        <v>136</v>
      </c>
      <c r="B85" s="24">
        <f>B84/B75</f>
        <v>0.55081808201542248</v>
      </c>
      <c r="C85" s="24">
        <f t="shared" ref="C85:K85" si="32">C84/C75</f>
        <v>0.5465502020783729</v>
      </c>
      <c r="D85" s="24">
        <f t="shared" si="32"/>
        <v>0.54010182396249318</v>
      </c>
      <c r="E85" s="24">
        <f t="shared" si="32"/>
        <v>0.53208046126715669</v>
      </c>
      <c r="F85" s="24">
        <f t="shared" si="32"/>
        <v>0.5230209623434432</v>
      </c>
      <c r="G85" s="24">
        <f t="shared" si="32"/>
        <v>0.51552808505238124</v>
      </c>
      <c r="H85" s="24">
        <f t="shared" si="32"/>
        <v>0.51176946305560833</v>
      </c>
      <c r="I85" s="24">
        <f t="shared" si="32"/>
        <v>0.52759348928526573</v>
      </c>
      <c r="J85" s="24">
        <f t="shared" si="32"/>
        <v>0.54711507960175454</v>
      </c>
      <c r="K85" s="24">
        <f t="shared" si="32"/>
        <v>0.57057966614165667</v>
      </c>
    </row>
  </sheetData>
  <mergeCells count="12">
    <mergeCell ref="B57:M57"/>
    <mergeCell ref="A56:A57"/>
    <mergeCell ref="A65:A66"/>
    <mergeCell ref="B66:K66"/>
    <mergeCell ref="A73:A74"/>
    <mergeCell ref="B74:K74"/>
    <mergeCell ref="B3:K3"/>
    <mergeCell ref="A2:A3"/>
    <mergeCell ref="A32:A33"/>
    <mergeCell ref="B33:K33"/>
    <mergeCell ref="A42:A43"/>
    <mergeCell ref="B43:K43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CAE8873-BB30-42ED-A90E-4ACDA97CC74F}">
  <dimension ref="A2:M16"/>
  <sheetViews>
    <sheetView workbookViewId="0">
      <selection activeCell="B15" sqref="B15"/>
    </sheetView>
  </sheetViews>
  <sheetFormatPr defaultRowHeight="13.2" x14ac:dyDescent="0.25"/>
  <cols>
    <col min="1" max="1" width="47.88671875" style="1" customWidth="1"/>
    <col min="2" max="16384" width="8.88671875" style="1"/>
  </cols>
  <sheetData>
    <row r="2" spans="1:13" x14ac:dyDescent="0.25">
      <c r="A2" s="32" t="s">
        <v>0</v>
      </c>
      <c r="B2" s="9" t="s">
        <v>15</v>
      </c>
      <c r="C2" s="9" t="s">
        <v>16</v>
      </c>
      <c r="D2" s="12" t="s">
        <v>51</v>
      </c>
      <c r="E2" s="12" t="s">
        <v>52</v>
      </c>
      <c r="F2" s="12" t="s">
        <v>53</v>
      </c>
      <c r="G2" s="12" t="s">
        <v>54</v>
      </c>
      <c r="H2" s="12" t="s">
        <v>55</v>
      </c>
      <c r="I2" s="12" t="s">
        <v>56</v>
      </c>
      <c r="J2" s="12" t="s">
        <v>57</v>
      </c>
      <c r="K2" s="12" t="s">
        <v>58</v>
      </c>
      <c r="L2" s="12" t="s">
        <v>59</v>
      </c>
      <c r="M2" s="12" t="s">
        <v>60</v>
      </c>
    </row>
    <row r="3" spans="1:13" x14ac:dyDescent="0.25">
      <c r="A3" s="32"/>
      <c r="B3" s="34" t="s">
        <v>44</v>
      </c>
      <c r="C3" s="34"/>
      <c r="D3" s="34"/>
      <c r="E3" s="34"/>
      <c r="F3" s="34"/>
      <c r="G3" s="34"/>
      <c r="H3" s="34"/>
      <c r="I3" s="34"/>
      <c r="J3" s="34"/>
      <c r="K3" s="34"/>
      <c r="L3" s="34"/>
      <c r="M3" s="34"/>
    </row>
    <row r="4" spans="1:13" x14ac:dyDescent="0.25">
      <c r="A4" s="21" t="s">
        <v>138</v>
      </c>
      <c r="B4" s="6"/>
      <c r="C4" s="6"/>
      <c r="D4" s="6"/>
      <c r="E4" s="6"/>
      <c r="F4" s="6"/>
      <c r="G4" s="6"/>
      <c r="H4" s="6"/>
      <c r="I4" s="6"/>
      <c r="J4" s="6"/>
      <c r="K4" s="6"/>
      <c r="L4" s="6"/>
      <c r="M4" s="6"/>
    </row>
    <row r="5" spans="1:13" x14ac:dyDescent="0.25">
      <c r="A5" s="6" t="s">
        <v>139</v>
      </c>
      <c r="B5" s="7">
        <v>0</v>
      </c>
      <c r="C5" s="7">
        <v>0</v>
      </c>
      <c r="D5" s="7">
        <f>'Assumption Sheet'!D121</f>
        <v>134.57749999999999</v>
      </c>
      <c r="E5" s="7">
        <f>D5</f>
        <v>134.57749999999999</v>
      </c>
      <c r="F5" s="7">
        <f t="shared" ref="F5:M5" si="0">E5</f>
        <v>134.57749999999999</v>
      </c>
      <c r="G5" s="7">
        <f t="shared" si="0"/>
        <v>134.57749999999999</v>
      </c>
      <c r="H5" s="7">
        <f t="shared" si="0"/>
        <v>134.57749999999999</v>
      </c>
      <c r="I5" s="7">
        <f t="shared" si="0"/>
        <v>134.57749999999999</v>
      </c>
      <c r="J5" s="7">
        <f t="shared" si="0"/>
        <v>134.57749999999999</v>
      </c>
      <c r="K5" s="7">
        <f t="shared" si="0"/>
        <v>134.57749999999999</v>
      </c>
      <c r="L5" s="7">
        <f t="shared" si="0"/>
        <v>134.57749999999999</v>
      </c>
      <c r="M5" s="7">
        <f t="shared" si="0"/>
        <v>134.57749999999999</v>
      </c>
    </row>
    <row r="6" spans="1:13" x14ac:dyDescent="0.25">
      <c r="A6" s="6" t="s">
        <v>140</v>
      </c>
      <c r="B6" s="7">
        <v>0</v>
      </c>
      <c r="C6" s="7">
        <v>0</v>
      </c>
      <c r="D6" s="7">
        <f>'Project Income Statement'!B21</f>
        <v>5.2514687499999999</v>
      </c>
      <c r="E6" s="7">
        <f>D6+'Project Income Statement'!C21</f>
        <v>10.5029375</v>
      </c>
      <c r="F6" s="7">
        <f>E6+'Project Income Statement'!D21</f>
        <v>15.754406249999999</v>
      </c>
      <c r="G6" s="7">
        <f>F6+'Project Income Statement'!E21</f>
        <v>21.005875</v>
      </c>
      <c r="H6" s="7">
        <f>G6+'Project Income Statement'!F21</f>
        <v>26.25734375</v>
      </c>
      <c r="I6" s="7">
        <f>H6+'Project Income Statement'!G21</f>
        <v>31.508812500000001</v>
      </c>
      <c r="J6" s="7">
        <f>I6+'Project Income Statement'!H21</f>
        <v>36.760281249999998</v>
      </c>
      <c r="K6" s="7">
        <f>J6+'Project Income Statement'!I21</f>
        <v>42.011749999999999</v>
      </c>
      <c r="L6" s="7">
        <f>K6+'Project Income Statement'!J21</f>
        <v>47.26321875</v>
      </c>
      <c r="M6" s="7">
        <f>L6+'Project Income Statement'!K21</f>
        <v>52.514687500000001</v>
      </c>
    </row>
    <row r="7" spans="1:13" x14ac:dyDescent="0.25">
      <c r="A7" s="6" t="s">
        <v>141</v>
      </c>
      <c r="B7" s="10">
        <f>B5-B6</f>
        <v>0</v>
      </c>
      <c r="C7" s="10">
        <f t="shared" ref="C7:M7" si="1">C5-C6</f>
        <v>0</v>
      </c>
      <c r="D7" s="10">
        <f t="shared" si="1"/>
        <v>129.32603125</v>
      </c>
      <c r="E7" s="10">
        <f t="shared" si="1"/>
        <v>124.07456249999998</v>
      </c>
      <c r="F7" s="10">
        <f t="shared" si="1"/>
        <v>118.82309374999998</v>
      </c>
      <c r="G7" s="10">
        <f t="shared" si="1"/>
        <v>113.57162499999998</v>
      </c>
      <c r="H7" s="10">
        <f t="shared" si="1"/>
        <v>108.32015624999998</v>
      </c>
      <c r="I7" s="10">
        <f t="shared" si="1"/>
        <v>103.06868749999998</v>
      </c>
      <c r="J7" s="10">
        <f t="shared" si="1"/>
        <v>97.817218749999995</v>
      </c>
      <c r="K7" s="10">
        <f t="shared" si="1"/>
        <v>92.56574999999998</v>
      </c>
      <c r="L7" s="10">
        <f t="shared" si="1"/>
        <v>87.314281249999993</v>
      </c>
      <c r="M7" s="10">
        <f t="shared" si="1"/>
        <v>82.062812499999978</v>
      </c>
    </row>
    <row r="8" spans="1:13" x14ac:dyDescent="0.25">
      <c r="A8" s="6" t="s">
        <v>142</v>
      </c>
      <c r="B8" s="7">
        <f>'Assumption Sheet'!B121</f>
        <v>78.004374999999996</v>
      </c>
      <c r="C8" s="7">
        <f>B8+'Assumption Sheet'!C121</f>
        <v>134.57749999999999</v>
      </c>
      <c r="D8" s="7">
        <v>0</v>
      </c>
      <c r="E8" s="7">
        <v>0</v>
      </c>
      <c r="F8" s="7">
        <v>0</v>
      </c>
      <c r="G8" s="7">
        <v>0</v>
      </c>
      <c r="H8" s="7">
        <v>0</v>
      </c>
      <c r="I8" s="7">
        <v>0</v>
      </c>
      <c r="J8" s="7">
        <v>0</v>
      </c>
      <c r="K8" s="7">
        <v>0</v>
      </c>
      <c r="L8" s="7">
        <v>0</v>
      </c>
      <c r="M8" s="7">
        <v>0</v>
      </c>
    </row>
    <row r="9" spans="1:13" x14ac:dyDescent="0.25">
      <c r="A9" s="6" t="s">
        <v>143</v>
      </c>
      <c r="B9" s="7">
        <f>'Projected Cash FLow Statement'!B16</f>
        <v>0</v>
      </c>
      <c r="C9" s="7">
        <f>'Projected Cash FLow Statement'!C16</f>
        <v>0</v>
      </c>
      <c r="D9" s="7">
        <f>'Projected Cash FLow Statement'!D16</f>
        <v>9.6663934943181751</v>
      </c>
      <c r="E9" s="7">
        <f>'Projected Cash FLow Statement'!E16</f>
        <v>18.191342489346589</v>
      </c>
      <c r="F9" s="7">
        <f>'Projected Cash FLow Statement'!F16</f>
        <v>25.650818042400566</v>
      </c>
      <c r="G9" s="7">
        <f>'Projected Cash FLow Statement'!G16</f>
        <v>32.114207525751688</v>
      </c>
      <c r="H9" s="7">
        <f>'Projected Cash FLow Statement'!H16</f>
        <v>37.643604561395364</v>
      </c>
      <c r="I9" s="7">
        <f>'Projected Cash FLow Statement'!I16</f>
        <v>43.996483182102551</v>
      </c>
      <c r="J9" s="7">
        <f>'Projected Cash FLow Statement'!J16</f>
        <v>51.09983649749995</v>
      </c>
      <c r="K9" s="7">
        <f>'Projected Cash FLow Statement'!K16</f>
        <v>57.949357076934561</v>
      </c>
      <c r="L9" s="7">
        <f>'Projected Cash FLow Statement'!L16</f>
        <v>64.423579743453814</v>
      </c>
      <c r="M9" s="7">
        <f>'Projected Cash FLow Statement'!M16</f>
        <v>70.388337230109542</v>
      </c>
    </row>
    <row r="10" spans="1:13" x14ac:dyDescent="0.25">
      <c r="A10" s="9" t="s">
        <v>144</v>
      </c>
      <c r="B10" s="10">
        <f>SUM(B7:B9)</f>
        <v>78.004374999999996</v>
      </c>
      <c r="C10" s="10">
        <f t="shared" ref="C10:M10" si="2">SUM(C7:C9)</f>
        <v>134.57749999999999</v>
      </c>
      <c r="D10" s="10">
        <f t="shared" si="2"/>
        <v>138.99242474431819</v>
      </c>
      <c r="E10" s="10">
        <f t="shared" si="2"/>
        <v>142.26590498934658</v>
      </c>
      <c r="F10" s="10">
        <f t="shared" si="2"/>
        <v>144.47391179240054</v>
      </c>
      <c r="G10" s="10">
        <f t="shared" si="2"/>
        <v>145.68583252575166</v>
      </c>
      <c r="H10" s="10">
        <f t="shared" si="2"/>
        <v>145.96376081139533</v>
      </c>
      <c r="I10" s="10">
        <f t="shared" si="2"/>
        <v>147.06517068210252</v>
      </c>
      <c r="J10" s="10">
        <f t="shared" si="2"/>
        <v>148.91705524749995</v>
      </c>
      <c r="K10" s="10">
        <f t="shared" si="2"/>
        <v>150.51510707693456</v>
      </c>
      <c r="L10" s="10">
        <f t="shared" si="2"/>
        <v>151.73786099345381</v>
      </c>
      <c r="M10" s="10">
        <f t="shared" si="2"/>
        <v>152.45114973010953</v>
      </c>
    </row>
    <row r="11" spans="1:13" x14ac:dyDescent="0.25">
      <c r="A11" s="6" t="s">
        <v>145</v>
      </c>
      <c r="B11" s="7">
        <f>SUM('Assumption Sheet'!B63:E63)+SUM('Assumption Sheet'!B73:E73)</f>
        <v>39.654375000000009</v>
      </c>
      <c r="C11" s="7">
        <f>SUM('Assumption Sheet'!F63:I63)+SUM('Assumption Sheet'!F73:I73)+B11</f>
        <v>64.077500000000015</v>
      </c>
      <c r="D11" s="7">
        <f>C11</f>
        <v>64.077500000000015</v>
      </c>
      <c r="E11" s="7">
        <f>D11</f>
        <v>64.077500000000015</v>
      </c>
      <c r="F11" s="7">
        <f t="shared" ref="F11:M11" si="3">E11</f>
        <v>64.077500000000015</v>
      </c>
      <c r="G11" s="7">
        <f t="shared" si="3"/>
        <v>64.077500000000015</v>
      </c>
      <c r="H11" s="7">
        <f t="shared" si="3"/>
        <v>64.077500000000015</v>
      </c>
      <c r="I11" s="7">
        <f t="shared" si="3"/>
        <v>64.077500000000015</v>
      </c>
      <c r="J11" s="7">
        <f t="shared" si="3"/>
        <v>64.077500000000015</v>
      </c>
      <c r="K11" s="7">
        <f t="shared" si="3"/>
        <v>64.077500000000015</v>
      </c>
      <c r="L11" s="7">
        <f t="shared" si="3"/>
        <v>64.077500000000015</v>
      </c>
      <c r="M11" s="7">
        <f t="shared" si="3"/>
        <v>64.077500000000015</v>
      </c>
    </row>
    <row r="12" spans="1:13" x14ac:dyDescent="0.25">
      <c r="A12" s="6" t="s">
        <v>146</v>
      </c>
      <c r="B12" s="7">
        <v>0</v>
      </c>
      <c r="C12" s="7">
        <v>0</v>
      </c>
      <c r="D12" s="7">
        <f>'Project Income Statement'!B27</f>
        <v>6.1774247443181753</v>
      </c>
      <c r="E12" s="7">
        <f>D12+'Project Income Statement'!C27</f>
        <v>12.975904989346587</v>
      </c>
      <c r="F12" s="7">
        <f>E12+'Project Income Statement'!D27</f>
        <v>20.471411792400566</v>
      </c>
      <c r="G12" s="7">
        <f>F12+'Project Income Statement'!E27</f>
        <v>28.733332525751692</v>
      </c>
      <c r="H12" s="7">
        <f>G12+'Project Income Statement'!F27</f>
        <v>37.823760811395374</v>
      </c>
      <c r="I12" s="7">
        <f>H12+'Project Income Statement'!G27</f>
        <v>47.737670682102568</v>
      </c>
      <c r="J12" s="7">
        <f>I12+'Project Income Statement'!H27</f>
        <v>58.402055247499973</v>
      </c>
      <c r="K12" s="7">
        <f>J12+'Project Income Statement'!I27</f>
        <v>68.812607076934583</v>
      </c>
      <c r="L12" s="7">
        <f>K12+'Project Income Statement'!J27</f>
        <v>78.847860993453821</v>
      </c>
      <c r="M12" s="7">
        <f>L12+'Project Income Statement'!K27</f>
        <v>88.373649730109548</v>
      </c>
    </row>
    <row r="13" spans="1:13" x14ac:dyDescent="0.25">
      <c r="A13" s="6" t="s">
        <v>147</v>
      </c>
      <c r="B13" s="10">
        <f>SUM(B11:B12)</f>
        <v>39.654375000000009</v>
      </c>
      <c r="C13" s="10">
        <f t="shared" ref="C13:M13" si="4">SUM(C11:C12)</f>
        <v>64.077500000000015</v>
      </c>
      <c r="D13" s="10">
        <f t="shared" si="4"/>
        <v>70.254924744318188</v>
      </c>
      <c r="E13" s="10">
        <f t="shared" si="4"/>
        <v>77.053404989346603</v>
      </c>
      <c r="F13" s="10">
        <f t="shared" si="4"/>
        <v>84.548911792400588</v>
      </c>
      <c r="G13" s="10">
        <f t="shared" si="4"/>
        <v>92.810832525751707</v>
      </c>
      <c r="H13" s="10">
        <f t="shared" si="4"/>
        <v>101.90126081139539</v>
      </c>
      <c r="I13" s="10">
        <f t="shared" si="4"/>
        <v>111.81517068210258</v>
      </c>
      <c r="J13" s="10">
        <f t="shared" si="4"/>
        <v>122.47955524749999</v>
      </c>
      <c r="K13" s="10">
        <f t="shared" si="4"/>
        <v>132.89010707693461</v>
      </c>
      <c r="L13" s="10">
        <f t="shared" si="4"/>
        <v>142.92536099345384</v>
      </c>
      <c r="M13" s="10">
        <f t="shared" si="4"/>
        <v>152.45114973010956</v>
      </c>
    </row>
    <row r="14" spans="1:13" x14ac:dyDescent="0.25">
      <c r="A14" s="6" t="s">
        <v>148</v>
      </c>
      <c r="B14" s="7">
        <f>SUM('Assumption Sheet'!B64:E64)</f>
        <v>38.349999999999994</v>
      </c>
      <c r="C14" s="7">
        <f>SUM('Assumption Sheet'!F64:I64)+B14</f>
        <v>70.499999999999986</v>
      </c>
      <c r="D14" s="7">
        <f>'Project Income Statement'!B37</f>
        <v>68.737499999999997</v>
      </c>
      <c r="E14" s="7">
        <f>'Project Income Statement'!C37</f>
        <v>65.212499999999991</v>
      </c>
      <c r="F14" s="7">
        <f>'Project Income Statement'!D37</f>
        <v>59.92499999999999</v>
      </c>
      <c r="G14" s="7">
        <f>'Project Income Statement'!E37</f>
        <v>52.874999999999986</v>
      </c>
      <c r="H14" s="7">
        <f>'Project Income Statement'!F37</f>
        <v>44.062499999999986</v>
      </c>
      <c r="I14" s="7">
        <f>'Project Income Statement'!G37</f>
        <v>35.249999999999986</v>
      </c>
      <c r="J14" s="7">
        <f>'Project Income Statement'!H37</f>
        <v>26.437499999999986</v>
      </c>
      <c r="K14" s="7">
        <f>'Project Income Statement'!I37</f>
        <v>17.624999999999986</v>
      </c>
      <c r="L14" s="7">
        <f>'Project Income Statement'!J37</f>
        <v>8.8124999999999858</v>
      </c>
      <c r="M14" s="7">
        <f>'Project Income Statement'!K37</f>
        <v>-1.4210854715202004E-14</v>
      </c>
    </row>
    <row r="15" spans="1:13" x14ac:dyDescent="0.25">
      <c r="A15" s="9" t="s">
        <v>149</v>
      </c>
      <c r="B15" s="10">
        <f>SUM(B13:B14)</f>
        <v>78.00437500000001</v>
      </c>
      <c r="C15" s="10">
        <f t="shared" ref="C15:M15" si="5">SUM(C13:C14)</f>
        <v>134.57749999999999</v>
      </c>
      <c r="D15" s="10">
        <f t="shared" si="5"/>
        <v>138.99242474431819</v>
      </c>
      <c r="E15" s="10">
        <f t="shared" si="5"/>
        <v>142.26590498934661</v>
      </c>
      <c r="F15" s="10">
        <f t="shared" si="5"/>
        <v>144.47391179240057</v>
      </c>
      <c r="G15" s="10">
        <f t="shared" si="5"/>
        <v>145.68583252575169</v>
      </c>
      <c r="H15" s="10">
        <f t="shared" si="5"/>
        <v>145.96376081139539</v>
      </c>
      <c r="I15" s="10">
        <f t="shared" si="5"/>
        <v>147.06517068210258</v>
      </c>
      <c r="J15" s="10">
        <f t="shared" si="5"/>
        <v>148.91705524749997</v>
      </c>
      <c r="K15" s="10">
        <f t="shared" si="5"/>
        <v>150.51510707693461</v>
      </c>
      <c r="L15" s="10">
        <f t="shared" si="5"/>
        <v>151.73786099345381</v>
      </c>
      <c r="M15" s="10">
        <f t="shared" si="5"/>
        <v>152.45114973010953</v>
      </c>
    </row>
    <row r="16" spans="1:13" x14ac:dyDescent="0.25">
      <c r="A16" s="1" t="s">
        <v>150</v>
      </c>
      <c r="B16" s="28">
        <f>B15-B10</f>
        <v>0</v>
      </c>
      <c r="C16" s="28">
        <f t="shared" ref="C16:M16" si="6">C15-C10</f>
        <v>0</v>
      </c>
      <c r="D16" s="28">
        <f t="shared" si="6"/>
        <v>0</v>
      </c>
      <c r="E16" s="28">
        <f t="shared" si="6"/>
        <v>0</v>
      </c>
      <c r="F16" s="28">
        <f t="shared" si="6"/>
        <v>0</v>
      </c>
      <c r="G16" s="28">
        <f t="shared" si="6"/>
        <v>0</v>
      </c>
      <c r="H16" s="28">
        <f t="shared" si="6"/>
        <v>0</v>
      </c>
      <c r="I16" s="28">
        <f t="shared" si="6"/>
        <v>0</v>
      </c>
      <c r="J16" s="28">
        <f t="shared" si="6"/>
        <v>0</v>
      </c>
      <c r="K16" s="28">
        <f t="shared" si="6"/>
        <v>0</v>
      </c>
      <c r="L16" s="28">
        <f t="shared" si="6"/>
        <v>0</v>
      </c>
      <c r="M16" s="28">
        <f t="shared" si="6"/>
        <v>0</v>
      </c>
    </row>
  </sheetData>
  <mergeCells count="2">
    <mergeCell ref="A2:A3"/>
    <mergeCell ref="B3:M3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C027E5F-89E0-4D09-82D9-3C5933312380}">
  <dimension ref="A2:M34"/>
  <sheetViews>
    <sheetView workbookViewId="0">
      <selection activeCell="B9" sqref="B9"/>
    </sheetView>
  </sheetViews>
  <sheetFormatPr defaultRowHeight="13.2" x14ac:dyDescent="0.25"/>
  <cols>
    <col min="1" max="1" width="43.109375" style="1" customWidth="1"/>
    <col min="2" max="16384" width="8.88671875" style="1"/>
  </cols>
  <sheetData>
    <row r="2" spans="1:13" x14ac:dyDescent="0.25">
      <c r="A2" s="32" t="s">
        <v>0</v>
      </c>
      <c r="B2" s="9" t="s">
        <v>15</v>
      </c>
      <c r="C2" s="9" t="s">
        <v>16</v>
      </c>
      <c r="D2" s="12" t="s">
        <v>51</v>
      </c>
      <c r="E2" s="12" t="s">
        <v>52</v>
      </c>
      <c r="F2" s="12" t="s">
        <v>53</v>
      </c>
      <c r="G2" s="12" t="s">
        <v>54</v>
      </c>
      <c r="H2" s="12" t="s">
        <v>55</v>
      </c>
      <c r="I2" s="12" t="s">
        <v>56</v>
      </c>
      <c r="J2" s="12" t="s">
        <v>57</v>
      </c>
      <c r="K2" s="12" t="s">
        <v>58</v>
      </c>
      <c r="L2" s="12" t="s">
        <v>59</v>
      </c>
      <c r="M2" s="12" t="s">
        <v>60</v>
      </c>
    </row>
    <row r="3" spans="1:13" x14ac:dyDescent="0.25">
      <c r="A3" s="32"/>
      <c r="B3" s="34" t="s">
        <v>44</v>
      </c>
      <c r="C3" s="34"/>
      <c r="D3" s="34"/>
      <c r="E3" s="34"/>
      <c r="F3" s="34"/>
      <c r="G3" s="34"/>
      <c r="H3" s="34"/>
      <c r="I3" s="34"/>
      <c r="J3" s="34"/>
      <c r="K3" s="34"/>
      <c r="L3" s="34"/>
      <c r="M3" s="34"/>
    </row>
    <row r="4" spans="1:13" x14ac:dyDescent="0.25">
      <c r="A4" s="21" t="s">
        <v>151</v>
      </c>
      <c r="B4" s="6"/>
      <c r="C4" s="6"/>
      <c r="D4" s="6"/>
      <c r="E4" s="6"/>
      <c r="F4" s="6"/>
      <c r="G4" s="6"/>
      <c r="H4" s="6"/>
      <c r="I4" s="6"/>
      <c r="J4" s="6"/>
      <c r="K4" s="6"/>
      <c r="L4" s="6"/>
      <c r="M4" s="6"/>
    </row>
    <row r="5" spans="1:13" x14ac:dyDescent="0.25">
      <c r="A5" s="7" t="s">
        <v>152</v>
      </c>
      <c r="B5" s="7">
        <v>0</v>
      </c>
      <c r="C5" s="7">
        <v>0</v>
      </c>
      <c r="D5" s="7">
        <f>'Project Income Statement'!B27</f>
        <v>6.1774247443181753</v>
      </c>
      <c r="E5" s="7">
        <f>'Project Income Statement'!C27</f>
        <v>6.7984802450284114</v>
      </c>
      <c r="F5" s="7">
        <f>'Project Income Statement'!D27</f>
        <v>7.4955068030539778</v>
      </c>
      <c r="G5" s="7">
        <f>'Project Income Statement'!E27</f>
        <v>8.2619207333511238</v>
      </c>
      <c r="H5" s="7">
        <f>'Project Income Statement'!F27</f>
        <v>9.0904282856436787</v>
      </c>
      <c r="I5" s="7">
        <f>'Project Income Statement'!G27</f>
        <v>9.913909870707192</v>
      </c>
      <c r="J5" s="7">
        <f>'Project Income Statement'!H27</f>
        <v>10.664384565397402</v>
      </c>
      <c r="K5" s="7">
        <f>'Project Income Statement'!I27</f>
        <v>10.41055182943461</v>
      </c>
      <c r="L5" s="7">
        <f>'Project Income Statement'!J27</f>
        <v>10.035253916519245</v>
      </c>
      <c r="M5" s="7">
        <f>'Project Income Statement'!K27</f>
        <v>9.5257887366557235</v>
      </c>
    </row>
    <row r="6" spans="1:13" x14ac:dyDescent="0.25">
      <c r="A6" s="7" t="s">
        <v>153</v>
      </c>
      <c r="B6" s="7">
        <v>0</v>
      </c>
      <c r="C6" s="7">
        <v>0</v>
      </c>
      <c r="D6" s="7">
        <f>'Project Income Statement'!B21</f>
        <v>5.2514687499999999</v>
      </c>
      <c r="E6" s="7">
        <f>'Project Income Statement'!C21</f>
        <v>5.2514687499999999</v>
      </c>
      <c r="F6" s="7">
        <f>'Project Income Statement'!D21</f>
        <v>5.2514687499999999</v>
      </c>
      <c r="G6" s="7">
        <f>'Project Income Statement'!E21</f>
        <v>5.2514687499999999</v>
      </c>
      <c r="H6" s="7">
        <f>'Project Income Statement'!F21</f>
        <v>5.2514687499999999</v>
      </c>
      <c r="I6" s="7">
        <f>'Project Income Statement'!G21</f>
        <v>5.2514687499999999</v>
      </c>
      <c r="J6" s="7">
        <f>'Project Income Statement'!H21</f>
        <v>5.2514687499999999</v>
      </c>
      <c r="K6" s="7">
        <f>'Project Income Statement'!I21</f>
        <v>5.2514687499999999</v>
      </c>
      <c r="L6" s="7">
        <f>'Project Income Statement'!J21</f>
        <v>5.2514687499999999</v>
      </c>
      <c r="M6" s="7">
        <f>'Project Income Statement'!K21</f>
        <v>5.2514687499999999</v>
      </c>
    </row>
    <row r="7" spans="1:13" x14ac:dyDescent="0.25">
      <c r="A7" s="7" t="s">
        <v>154</v>
      </c>
      <c r="B7" s="7">
        <f>'Projected Balance Sheet'!B11</f>
        <v>39.654375000000009</v>
      </c>
      <c r="C7" s="7">
        <f>'Projected Balance Sheet'!C11-'Projected Balance Sheet'!B11</f>
        <v>24.423125000000006</v>
      </c>
      <c r="D7" s="7">
        <v>0</v>
      </c>
      <c r="E7" s="7">
        <v>0</v>
      </c>
      <c r="F7" s="7">
        <v>0</v>
      </c>
      <c r="G7" s="7">
        <v>0</v>
      </c>
      <c r="H7" s="7">
        <v>0</v>
      </c>
      <c r="I7" s="7">
        <v>0</v>
      </c>
      <c r="J7" s="7">
        <v>0</v>
      </c>
      <c r="K7" s="7">
        <v>0</v>
      </c>
      <c r="L7" s="7">
        <v>0</v>
      </c>
      <c r="M7" s="7">
        <v>0</v>
      </c>
    </row>
    <row r="8" spans="1:13" x14ac:dyDescent="0.25">
      <c r="A8" s="7" t="s">
        <v>155</v>
      </c>
      <c r="B8" s="7">
        <f>'Projected Balance Sheet'!B14</f>
        <v>38.349999999999994</v>
      </c>
      <c r="C8" s="7">
        <f>'Projected Balance Sheet'!C14-'Projected Balance Sheet'!B14</f>
        <v>32.149999999999991</v>
      </c>
      <c r="D8" s="7"/>
      <c r="E8" s="7"/>
      <c r="F8" s="7"/>
      <c r="G8" s="7"/>
      <c r="H8" s="7"/>
      <c r="I8" s="7"/>
      <c r="J8" s="7"/>
      <c r="K8" s="7"/>
      <c r="L8" s="7"/>
      <c r="M8" s="7"/>
    </row>
    <row r="9" spans="1:13" x14ac:dyDescent="0.25">
      <c r="A9" s="10" t="s">
        <v>159</v>
      </c>
      <c r="B9" s="10">
        <f>SUM(B5:B8)</f>
        <v>78.00437500000001</v>
      </c>
      <c r="C9" s="10">
        <f t="shared" ref="C9:M9" si="0">SUM(C5:C8)</f>
        <v>56.573124999999997</v>
      </c>
      <c r="D9" s="10">
        <f t="shared" si="0"/>
        <v>11.428893494318174</v>
      </c>
      <c r="E9" s="10">
        <f t="shared" si="0"/>
        <v>12.049948995028412</v>
      </c>
      <c r="F9" s="10">
        <f t="shared" si="0"/>
        <v>12.746975553053979</v>
      </c>
      <c r="G9" s="10">
        <f t="shared" si="0"/>
        <v>13.513389483351123</v>
      </c>
      <c r="H9" s="10">
        <f t="shared" si="0"/>
        <v>14.341897035643679</v>
      </c>
      <c r="I9" s="10">
        <f t="shared" si="0"/>
        <v>15.165378620707191</v>
      </c>
      <c r="J9" s="10">
        <f t="shared" si="0"/>
        <v>15.915853315397403</v>
      </c>
      <c r="K9" s="10">
        <f t="shared" si="0"/>
        <v>15.662020579434611</v>
      </c>
      <c r="L9" s="10">
        <f t="shared" si="0"/>
        <v>15.286722666519246</v>
      </c>
      <c r="M9" s="10">
        <f t="shared" si="0"/>
        <v>14.777257486655724</v>
      </c>
    </row>
    <row r="10" spans="1:13" x14ac:dyDescent="0.25">
      <c r="A10" s="10" t="s">
        <v>158</v>
      </c>
      <c r="B10" s="10"/>
      <c r="C10" s="10"/>
      <c r="D10" s="10"/>
      <c r="E10" s="10"/>
      <c r="F10" s="10"/>
      <c r="G10" s="10"/>
      <c r="H10" s="10"/>
      <c r="I10" s="10"/>
      <c r="J10" s="10"/>
      <c r="K10" s="10"/>
      <c r="L10" s="10"/>
      <c r="M10" s="10"/>
    </row>
    <row r="11" spans="1:13" x14ac:dyDescent="0.25">
      <c r="A11" s="7" t="s">
        <v>156</v>
      </c>
      <c r="B11" s="7">
        <f>SUM('Assumption Sheet'!B65:E65)+SUM('Assumption Sheet'!B73:E73)</f>
        <v>78.004374999999996</v>
      </c>
      <c r="C11" s="7">
        <f>SUM('Assumption Sheet'!F65:I65)+SUM('Assumption Sheet'!F73:I73)</f>
        <v>56.57312499999999</v>
      </c>
      <c r="D11" s="7">
        <v>0</v>
      </c>
      <c r="E11" s="7">
        <v>0</v>
      </c>
      <c r="F11" s="7">
        <v>0</v>
      </c>
      <c r="G11" s="7">
        <v>0</v>
      </c>
      <c r="H11" s="7">
        <v>0</v>
      </c>
      <c r="I11" s="7">
        <v>0</v>
      </c>
      <c r="J11" s="7">
        <v>0</v>
      </c>
      <c r="K11" s="7">
        <v>0</v>
      </c>
      <c r="L11" s="7">
        <v>0</v>
      </c>
      <c r="M11" s="7">
        <v>0</v>
      </c>
    </row>
    <row r="12" spans="1:13" x14ac:dyDescent="0.25">
      <c r="A12" s="7" t="s">
        <v>157</v>
      </c>
      <c r="B12" s="7">
        <v>0</v>
      </c>
      <c r="C12" s="7">
        <v>0</v>
      </c>
      <c r="D12" s="7">
        <f>'Project Income Statement'!B36</f>
        <v>1.7625000000000002</v>
      </c>
      <c r="E12" s="7">
        <f>'Project Income Statement'!C36</f>
        <v>3.5250000000000004</v>
      </c>
      <c r="F12" s="7">
        <f>'Project Income Statement'!D36</f>
        <v>5.2874999999999996</v>
      </c>
      <c r="G12" s="7">
        <f>'Project Income Statement'!E36</f>
        <v>7.0500000000000007</v>
      </c>
      <c r="H12" s="7">
        <f>'Project Income Statement'!F36</f>
        <v>8.8125</v>
      </c>
      <c r="I12" s="7">
        <f>'Project Income Statement'!G36</f>
        <v>8.8125</v>
      </c>
      <c r="J12" s="7">
        <f>'Project Income Statement'!H36</f>
        <v>8.8125</v>
      </c>
      <c r="K12" s="7">
        <f>'Project Income Statement'!I36</f>
        <v>8.8125</v>
      </c>
      <c r="L12" s="7">
        <f>'Project Income Statement'!J36</f>
        <v>8.8125</v>
      </c>
      <c r="M12" s="7">
        <f>'Project Income Statement'!K36</f>
        <v>8.8125</v>
      </c>
    </row>
    <row r="13" spans="1:13" x14ac:dyDescent="0.25">
      <c r="A13" s="10" t="s">
        <v>160</v>
      </c>
      <c r="B13" s="10">
        <f>SUM(B11:B12)</f>
        <v>78.004374999999996</v>
      </c>
      <c r="C13" s="10">
        <f t="shared" ref="C13:M13" si="1">SUM(C11:C12)</f>
        <v>56.57312499999999</v>
      </c>
      <c r="D13" s="10">
        <f t="shared" si="1"/>
        <v>1.7625000000000002</v>
      </c>
      <c r="E13" s="10">
        <f t="shared" si="1"/>
        <v>3.5250000000000004</v>
      </c>
      <c r="F13" s="10">
        <f t="shared" si="1"/>
        <v>5.2874999999999996</v>
      </c>
      <c r="G13" s="10">
        <f t="shared" si="1"/>
        <v>7.0500000000000007</v>
      </c>
      <c r="H13" s="10">
        <f t="shared" si="1"/>
        <v>8.8125</v>
      </c>
      <c r="I13" s="10">
        <f t="shared" si="1"/>
        <v>8.8125</v>
      </c>
      <c r="J13" s="10">
        <f t="shared" si="1"/>
        <v>8.8125</v>
      </c>
      <c r="K13" s="10">
        <f t="shared" si="1"/>
        <v>8.8125</v>
      </c>
      <c r="L13" s="10">
        <f t="shared" si="1"/>
        <v>8.8125</v>
      </c>
      <c r="M13" s="10">
        <f t="shared" si="1"/>
        <v>8.8125</v>
      </c>
    </row>
    <row r="14" spans="1:13" x14ac:dyDescent="0.25">
      <c r="A14" s="10" t="s">
        <v>161</v>
      </c>
      <c r="B14" s="10">
        <f>B9-B13</f>
        <v>0</v>
      </c>
      <c r="C14" s="10">
        <f t="shared" ref="C14:M14" si="2">C9-C13</f>
        <v>0</v>
      </c>
      <c r="D14" s="10">
        <f t="shared" si="2"/>
        <v>9.6663934943181751</v>
      </c>
      <c r="E14" s="10">
        <f t="shared" si="2"/>
        <v>8.5249489950284119</v>
      </c>
      <c r="F14" s="10">
        <f t="shared" si="2"/>
        <v>7.4594755530539789</v>
      </c>
      <c r="G14" s="10">
        <f t="shared" si="2"/>
        <v>6.4633894833511221</v>
      </c>
      <c r="H14" s="10">
        <f t="shared" si="2"/>
        <v>5.5293970356436795</v>
      </c>
      <c r="I14" s="10">
        <f t="shared" si="2"/>
        <v>6.352878620707191</v>
      </c>
      <c r="J14" s="10">
        <f t="shared" si="2"/>
        <v>7.1033533153974027</v>
      </c>
      <c r="K14" s="10">
        <f t="shared" si="2"/>
        <v>6.8495205794346106</v>
      </c>
      <c r="L14" s="10">
        <f t="shared" si="2"/>
        <v>6.4742226665192462</v>
      </c>
      <c r="M14" s="10">
        <f t="shared" si="2"/>
        <v>5.9647574866557243</v>
      </c>
    </row>
    <row r="15" spans="1:13" x14ac:dyDescent="0.25">
      <c r="A15" s="10" t="s">
        <v>35</v>
      </c>
      <c r="B15" s="10">
        <v>0</v>
      </c>
      <c r="C15" s="10">
        <f>B16</f>
        <v>0</v>
      </c>
      <c r="D15" s="10">
        <f t="shared" ref="D15:M15" si="3">C16</f>
        <v>0</v>
      </c>
      <c r="E15" s="10">
        <f t="shared" si="3"/>
        <v>9.6663934943181751</v>
      </c>
      <c r="F15" s="10">
        <f t="shared" si="3"/>
        <v>18.191342489346589</v>
      </c>
      <c r="G15" s="10">
        <f t="shared" si="3"/>
        <v>25.650818042400566</v>
      </c>
      <c r="H15" s="10">
        <f t="shared" si="3"/>
        <v>32.114207525751688</v>
      </c>
      <c r="I15" s="10">
        <f t="shared" si="3"/>
        <v>37.643604561395364</v>
      </c>
      <c r="J15" s="10">
        <f t="shared" si="3"/>
        <v>43.996483182102551</v>
      </c>
      <c r="K15" s="10">
        <f t="shared" si="3"/>
        <v>51.09983649749995</v>
      </c>
      <c r="L15" s="10">
        <f t="shared" si="3"/>
        <v>57.949357076934561</v>
      </c>
      <c r="M15" s="10">
        <f t="shared" si="3"/>
        <v>64.423579743453814</v>
      </c>
    </row>
    <row r="16" spans="1:13" x14ac:dyDescent="0.25">
      <c r="A16" s="10" t="s">
        <v>37</v>
      </c>
      <c r="B16" s="10">
        <f>SUM(B14:B15)</f>
        <v>0</v>
      </c>
      <c r="C16" s="10">
        <f t="shared" ref="C16:M16" si="4">SUM(C14:C15)</f>
        <v>0</v>
      </c>
      <c r="D16" s="10">
        <f t="shared" si="4"/>
        <v>9.6663934943181751</v>
      </c>
      <c r="E16" s="10">
        <f t="shared" si="4"/>
        <v>18.191342489346589</v>
      </c>
      <c r="F16" s="10">
        <f t="shared" si="4"/>
        <v>25.650818042400566</v>
      </c>
      <c r="G16" s="10">
        <f t="shared" si="4"/>
        <v>32.114207525751688</v>
      </c>
      <c r="H16" s="10">
        <f t="shared" si="4"/>
        <v>37.643604561395364</v>
      </c>
      <c r="I16" s="10">
        <f t="shared" si="4"/>
        <v>43.996483182102551</v>
      </c>
      <c r="J16" s="10">
        <f t="shared" si="4"/>
        <v>51.09983649749995</v>
      </c>
      <c r="K16" s="10">
        <f t="shared" si="4"/>
        <v>57.949357076934561</v>
      </c>
      <c r="L16" s="10">
        <f t="shared" si="4"/>
        <v>64.423579743453814</v>
      </c>
      <c r="M16" s="10">
        <f t="shared" si="4"/>
        <v>70.388337230109542</v>
      </c>
    </row>
    <row r="17" spans="1:13" x14ac:dyDescent="0.25">
      <c r="A17" s="23"/>
      <c r="B17" s="23"/>
      <c r="C17" s="23"/>
      <c r="D17" s="23"/>
      <c r="E17" s="23"/>
      <c r="F17" s="23"/>
      <c r="G17" s="23"/>
      <c r="H17" s="23"/>
      <c r="I17" s="23"/>
      <c r="J17" s="23"/>
      <c r="K17" s="23"/>
      <c r="L17" s="23"/>
      <c r="M17" s="23"/>
    </row>
    <row r="18" spans="1:13" x14ac:dyDescent="0.25">
      <c r="A18" s="23"/>
      <c r="B18" s="23"/>
      <c r="C18" s="23"/>
      <c r="D18" s="23"/>
      <c r="E18" s="23"/>
      <c r="F18" s="23"/>
      <c r="G18" s="23"/>
      <c r="H18" s="23"/>
      <c r="I18" s="23"/>
      <c r="J18" s="23"/>
      <c r="K18" s="23"/>
      <c r="L18" s="23"/>
      <c r="M18" s="23"/>
    </row>
    <row r="19" spans="1:13" x14ac:dyDescent="0.25">
      <c r="A19" s="23"/>
      <c r="B19" s="23"/>
      <c r="C19" s="23"/>
      <c r="D19" s="23"/>
      <c r="E19" s="23"/>
      <c r="F19" s="23"/>
      <c r="G19" s="23"/>
      <c r="H19" s="23"/>
      <c r="I19" s="23"/>
      <c r="J19" s="23"/>
      <c r="K19" s="23"/>
      <c r="L19" s="23"/>
      <c r="M19" s="23"/>
    </row>
    <row r="20" spans="1:13" x14ac:dyDescent="0.25">
      <c r="A20" s="23"/>
      <c r="B20" s="23"/>
      <c r="C20" s="23"/>
      <c r="D20" s="23"/>
      <c r="E20" s="23"/>
      <c r="F20" s="23"/>
      <c r="G20" s="23"/>
      <c r="H20" s="23"/>
      <c r="I20" s="23"/>
      <c r="J20" s="23"/>
      <c r="K20" s="23"/>
      <c r="L20" s="23"/>
      <c r="M20" s="23"/>
    </row>
    <row r="21" spans="1:13" x14ac:dyDescent="0.25">
      <c r="A21" s="23"/>
      <c r="B21" s="23"/>
      <c r="C21" s="23"/>
      <c r="D21" s="23"/>
      <c r="E21" s="23"/>
      <c r="F21" s="23"/>
      <c r="G21" s="23"/>
      <c r="H21" s="23"/>
      <c r="I21" s="23"/>
      <c r="J21" s="23"/>
      <c r="K21" s="23"/>
      <c r="L21" s="23"/>
      <c r="M21" s="23"/>
    </row>
    <row r="22" spans="1:13" x14ac:dyDescent="0.25">
      <c r="A22" s="23"/>
      <c r="B22" s="23"/>
      <c r="C22" s="23"/>
      <c r="D22" s="23"/>
      <c r="E22" s="23"/>
      <c r="F22" s="23"/>
      <c r="G22" s="23"/>
      <c r="H22" s="23"/>
      <c r="I22" s="23"/>
      <c r="J22" s="23"/>
      <c r="K22" s="23"/>
      <c r="L22" s="23"/>
      <c r="M22" s="23"/>
    </row>
    <row r="23" spans="1:13" x14ac:dyDescent="0.25">
      <c r="A23" s="23"/>
      <c r="B23" s="23"/>
      <c r="C23" s="23"/>
      <c r="D23" s="23"/>
      <c r="E23" s="23"/>
      <c r="F23" s="23"/>
      <c r="G23" s="23"/>
      <c r="H23" s="23"/>
      <c r="I23" s="23"/>
      <c r="J23" s="23"/>
      <c r="K23" s="23"/>
      <c r="L23" s="23"/>
      <c r="M23" s="23"/>
    </row>
    <row r="24" spans="1:13" x14ac:dyDescent="0.25">
      <c r="A24" s="23"/>
      <c r="B24" s="23"/>
      <c r="C24" s="23"/>
      <c r="D24" s="23"/>
      <c r="E24" s="23"/>
      <c r="F24" s="23"/>
      <c r="G24" s="23"/>
      <c r="H24" s="23"/>
      <c r="I24" s="23"/>
      <c r="J24" s="23"/>
      <c r="K24" s="23"/>
      <c r="L24" s="23"/>
      <c r="M24" s="23"/>
    </row>
    <row r="25" spans="1:13" x14ac:dyDescent="0.25">
      <c r="A25" s="23"/>
      <c r="B25" s="23"/>
      <c r="C25" s="23"/>
      <c r="D25" s="23"/>
      <c r="E25" s="23"/>
      <c r="F25" s="23"/>
      <c r="G25" s="23"/>
      <c r="H25" s="23"/>
      <c r="I25" s="23"/>
      <c r="J25" s="23"/>
      <c r="K25" s="23"/>
      <c r="L25" s="23"/>
      <c r="M25" s="23"/>
    </row>
    <row r="26" spans="1:13" x14ac:dyDescent="0.25">
      <c r="A26" s="23"/>
      <c r="B26" s="23"/>
      <c r="C26" s="23"/>
      <c r="D26" s="23"/>
      <c r="E26" s="23"/>
      <c r="F26" s="23"/>
      <c r="G26" s="23"/>
      <c r="H26" s="23"/>
      <c r="I26" s="23"/>
      <c r="J26" s="23"/>
      <c r="K26" s="23"/>
      <c r="L26" s="23"/>
      <c r="M26" s="23"/>
    </row>
    <row r="27" spans="1:13" x14ac:dyDescent="0.25">
      <c r="A27" s="23"/>
      <c r="B27" s="23"/>
      <c r="C27" s="23"/>
      <c r="D27" s="23"/>
      <c r="E27" s="23"/>
      <c r="F27" s="23"/>
      <c r="G27" s="23"/>
      <c r="H27" s="23"/>
      <c r="I27" s="23"/>
      <c r="J27" s="23"/>
      <c r="K27" s="23"/>
      <c r="L27" s="23"/>
      <c r="M27" s="23"/>
    </row>
    <row r="28" spans="1:13" x14ac:dyDescent="0.25">
      <c r="A28" s="23"/>
      <c r="B28" s="23"/>
      <c r="C28" s="23"/>
      <c r="D28" s="23"/>
      <c r="E28" s="23"/>
      <c r="F28" s="23"/>
      <c r="G28" s="23"/>
      <c r="H28" s="23"/>
      <c r="I28" s="23"/>
      <c r="J28" s="23"/>
      <c r="K28" s="23"/>
      <c r="L28" s="23"/>
      <c r="M28" s="23"/>
    </row>
    <row r="29" spans="1:13" x14ac:dyDescent="0.25">
      <c r="A29" s="23"/>
      <c r="B29" s="23"/>
      <c r="C29" s="23"/>
      <c r="D29" s="23"/>
      <c r="E29" s="23"/>
      <c r="F29" s="23"/>
      <c r="G29" s="23"/>
      <c r="H29" s="23"/>
      <c r="I29" s="23"/>
      <c r="J29" s="23"/>
      <c r="K29" s="23"/>
      <c r="L29" s="23"/>
      <c r="M29" s="23"/>
    </row>
    <row r="30" spans="1:13" x14ac:dyDescent="0.25">
      <c r="A30" s="23"/>
      <c r="B30" s="23"/>
      <c r="C30" s="23"/>
      <c r="D30" s="23"/>
      <c r="E30" s="23"/>
      <c r="F30" s="23"/>
      <c r="G30" s="23"/>
      <c r="H30" s="23"/>
      <c r="I30" s="23"/>
      <c r="J30" s="23"/>
      <c r="K30" s="23"/>
      <c r="L30" s="23"/>
      <c r="M30" s="23"/>
    </row>
    <row r="31" spans="1:13" x14ac:dyDescent="0.25">
      <c r="A31" s="23"/>
      <c r="B31" s="23"/>
      <c r="C31" s="23"/>
      <c r="D31" s="23"/>
      <c r="E31" s="23"/>
      <c r="F31" s="23"/>
      <c r="G31" s="23"/>
      <c r="H31" s="23"/>
      <c r="I31" s="23"/>
      <c r="J31" s="23"/>
      <c r="K31" s="23"/>
      <c r="L31" s="23"/>
      <c r="M31" s="23"/>
    </row>
    <row r="32" spans="1:13" x14ac:dyDescent="0.25">
      <c r="A32" s="23"/>
      <c r="B32" s="23"/>
      <c r="C32" s="23"/>
      <c r="D32" s="23"/>
      <c r="E32" s="23"/>
      <c r="F32" s="23"/>
      <c r="G32" s="23"/>
      <c r="H32" s="23"/>
      <c r="I32" s="23"/>
      <c r="J32" s="23"/>
      <c r="K32" s="23"/>
      <c r="L32" s="23"/>
      <c r="M32" s="23"/>
    </row>
    <row r="33" spans="1:13" x14ac:dyDescent="0.25">
      <c r="A33" s="23"/>
      <c r="B33" s="23"/>
      <c r="C33" s="23"/>
      <c r="D33" s="23"/>
      <c r="E33" s="23"/>
      <c r="F33" s="23"/>
      <c r="G33" s="23"/>
      <c r="H33" s="23"/>
      <c r="I33" s="23"/>
      <c r="J33" s="23"/>
      <c r="K33" s="23"/>
      <c r="L33" s="23"/>
      <c r="M33" s="23"/>
    </row>
    <row r="34" spans="1:13" x14ac:dyDescent="0.25">
      <c r="A34" s="23"/>
      <c r="B34" s="23"/>
      <c r="C34" s="23"/>
      <c r="D34" s="23"/>
      <c r="E34" s="23"/>
      <c r="F34" s="23"/>
      <c r="G34" s="23"/>
      <c r="H34" s="23"/>
      <c r="I34" s="23"/>
      <c r="J34" s="23"/>
      <c r="K34" s="23"/>
      <c r="L34" s="23"/>
      <c r="M34" s="23"/>
    </row>
  </sheetData>
  <mergeCells count="2">
    <mergeCell ref="A2:A3"/>
    <mergeCell ref="B3:M3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Assumption Sheet</vt:lpstr>
      <vt:lpstr>Project Income Statement</vt:lpstr>
      <vt:lpstr>Projected Balance Sheet</vt:lpstr>
      <vt:lpstr>Projected Cash FLow Statement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kshipra godse</dc:creator>
  <cp:lastModifiedBy>Asis Kumar Das</cp:lastModifiedBy>
  <dcterms:created xsi:type="dcterms:W3CDTF">2024-08-21T10:54:46Z</dcterms:created>
  <dcterms:modified xsi:type="dcterms:W3CDTF">2026-09-29T04:19:40Z</dcterms:modified>
</cp:coreProperties>
</file>